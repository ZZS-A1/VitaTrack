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24226"/>
  <mc:AlternateContent xmlns:mc="http://schemas.openxmlformats.org/markup-compatibility/2006">
    <mc:Choice Requires="x15">
      <x15ac:absPath xmlns:x15ac="http://schemas.microsoft.com/office/spreadsheetml/2010/11/ac" url="/Users/zhongzhengsu/Desktop/VitaTrack/"/>
    </mc:Choice>
  </mc:AlternateContent>
  <xr:revisionPtr revIDLastSave="0" documentId="13_ncr:1_{33EA505C-F5FC-B346-8644-69A6971EE865}" xr6:coauthVersionLast="47" xr6:coauthVersionMax="47" xr10:uidLastSave="{00000000-0000-0000-0000-000000000000}"/>
  <bookViews>
    <workbookView xWindow="6280" yWindow="1100" windowWidth="23500" windowHeight="14920" activeTab="7" xr2:uid="{00000000-000D-0000-FFFF-FFFF00000000}"/>
  </bookViews>
  <sheets>
    <sheet name="Sheet1" sheetId="6" r:id="rId1"/>
    <sheet name="user" sheetId="1" r:id="rId2"/>
    <sheet name="foods" sheetId="2" r:id="rId3"/>
    <sheet name="meal_records" sheetId="3" r:id="rId4"/>
    <sheet name="food_records" sheetId="4" r:id="rId5"/>
    <sheet name="goal_settings" sheetId="5" r:id="rId6"/>
    <sheet name="Sheet2" sheetId="7" r:id="rId7"/>
    <sheet name="Sheet4" sheetId="9" r:id="rId8"/>
  </sheets>
  <definedNames>
    <definedName name="_xlnm._FilterDatabase" localSheetId="6" hidden="1">Sheet2!$A$1:$H$295</definedName>
  </definedNames>
  <calcPr calcId="191029"/>
  <pivotCaches>
    <pivotCache cacheId="5"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2" i="1"/>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 i="7"/>
</calcChain>
</file>

<file path=xl/sharedStrings.xml><?xml version="1.0" encoding="utf-8"?>
<sst xmlns="http://schemas.openxmlformats.org/spreadsheetml/2006/main" count="1635" uniqueCount="166">
  <si>
    <t>user_id</t>
  </si>
  <si>
    <t>firstName</t>
  </si>
  <si>
    <t>lastName</t>
  </si>
  <si>
    <t>gender</t>
  </si>
  <si>
    <t>dob</t>
  </si>
  <si>
    <t>phone</t>
  </si>
  <si>
    <t>email</t>
  </si>
  <si>
    <t>joinedYear</t>
  </si>
  <si>
    <t>password</t>
  </si>
  <si>
    <t>avatar_path</t>
  </si>
  <si>
    <t>created_at</t>
  </si>
  <si>
    <t>username</t>
  </si>
  <si>
    <t>John</t>
  </si>
  <si>
    <t>Emily</t>
  </si>
  <si>
    <t>Michael</t>
  </si>
  <si>
    <t>Sarah</t>
  </si>
  <si>
    <t>David</t>
  </si>
  <si>
    <t>Anna</t>
  </si>
  <si>
    <t>Doe</t>
  </si>
  <si>
    <t>Johnson</t>
  </si>
  <si>
    <t>Smith</t>
  </si>
  <si>
    <t>Williams</t>
  </si>
  <si>
    <t>Brown</t>
  </si>
  <si>
    <t>Taylor</t>
  </si>
  <si>
    <t>male</t>
  </si>
  <si>
    <t>female</t>
  </si>
  <si>
    <t>0400123456</t>
  </si>
  <si>
    <t>0400123457</t>
  </si>
  <si>
    <t>0400123458</t>
  </si>
  <si>
    <t>0400123459</t>
  </si>
  <si>
    <t>0400123460</t>
  </si>
  <si>
    <t>0400123461</t>
  </si>
  <si>
    <t>john.doe@example.com</t>
  </si>
  <si>
    <t>emily.johnson@example.com</t>
  </si>
  <si>
    <t>michael.smith@example.com</t>
  </si>
  <si>
    <t>sarah.williams@example.com</t>
  </si>
  <si>
    <t>david.brown@example.com</t>
  </si>
  <si>
    <t>anna.taylor@example.com</t>
  </si>
  <si>
    <t>2023</t>
  </si>
  <si>
    <t>2022</t>
  </si>
  <si>
    <t>2024</t>
  </si>
  <si>
    <t>2021</t>
  </si>
  <si>
    <t>123456</t>
  </si>
  <si>
    <t>user1</t>
  </si>
  <si>
    <t>user2</t>
  </si>
  <si>
    <t>user3</t>
  </si>
  <si>
    <t>user4</t>
  </si>
  <si>
    <t>user5</t>
  </si>
  <si>
    <t>user6</t>
  </si>
  <si>
    <t>id</t>
  </si>
  <si>
    <t>name</t>
  </si>
  <si>
    <t>calories</t>
  </si>
  <si>
    <t>unit</t>
  </si>
  <si>
    <t>amount</t>
  </si>
  <si>
    <t>food_category</t>
  </si>
  <si>
    <t>Banana</t>
  </si>
  <si>
    <t>Apple</t>
  </si>
  <si>
    <t>Orange</t>
  </si>
  <si>
    <t>Blueberries</t>
  </si>
  <si>
    <t>Strawberries</t>
  </si>
  <si>
    <t>Grapes</t>
  </si>
  <si>
    <t>Watermelon</t>
  </si>
  <si>
    <t>Pineapple</t>
  </si>
  <si>
    <t>Broccoli</t>
  </si>
  <si>
    <t>Carrots</t>
  </si>
  <si>
    <t>Spinach</t>
  </si>
  <si>
    <t>Cucumber</t>
  </si>
  <si>
    <t>Tomatoes</t>
  </si>
  <si>
    <t>Bell Peppers</t>
  </si>
  <si>
    <t>Lettuce</t>
  </si>
  <si>
    <t>Zucchini</t>
  </si>
  <si>
    <t>Brown Rice</t>
  </si>
  <si>
    <t>Oatmeal</t>
  </si>
  <si>
    <t>Quinoa</t>
  </si>
  <si>
    <t>Whole Wheat Bread</t>
  </si>
  <si>
    <t>Pasta</t>
  </si>
  <si>
    <t>Sweet Potato</t>
  </si>
  <si>
    <t>Corn</t>
  </si>
  <si>
    <t>Barley</t>
  </si>
  <si>
    <t>Chicken Breast</t>
  </si>
  <si>
    <t>Salmon</t>
  </si>
  <si>
    <t>Beef Steak</t>
  </si>
  <si>
    <t>Pork</t>
  </si>
  <si>
    <t>Tofu</t>
  </si>
  <si>
    <t>Eggs</t>
  </si>
  <si>
    <t>Turkey</t>
  </si>
  <si>
    <t>Tuna</t>
  </si>
  <si>
    <t>Milk</t>
  </si>
  <si>
    <t>Greek Yogurt</t>
  </si>
  <si>
    <t>Cheddar Cheese</t>
  </si>
  <si>
    <t>Cottage Cheese</t>
  </si>
  <si>
    <t>Mozzarella</t>
  </si>
  <si>
    <t>Yogurt</t>
  </si>
  <si>
    <t>Sour Cream</t>
  </si>
  <si>
    <t>Butter</t>
  </si>
  <si>
    <t>Almonds</t>
  </si>
  <si>
    <t>Peanut Butter</t>
  </si>
  <si>
    <t>Walnuts</t>
  </si>
  <si>
    <t>Cashews</t>
  </si>
  <si>
    <t>Dark Chocolate</t>
  </si>
  <si>
    <t>Popcorn</t>
  </si>
  <si>
    <t>Trail Mix</t>
  </si>
  <si>
    <t>Granola</t>
  </si>
  <si>
    <t>serving</t>
  </si>
  <si>
    <t>fruit</t>
  </si>
  <si>
    <t>vegetables</t>
  </si>
  <si>
    <t>grains</t>
  </si>
  <si>
    <t>meat</t>
  </si>
  <si>
    <t>dairy</t>
  </si>
  <si>
    <t>extras</t>
  </si>
  <si>
    <t>food_id</t>
  </si>
  <si>
    <t>meal_type</t>
  </si>
  <si>
    <t>image_url</t>
  </si>
  <si>
    <t>record_date</t>
  </si>
  <si>
    <t>breakfast</t>
  </si>
  <si>
    <t>lunch</t>
  </si>
  <si>
    <t>dinner</t>
  </si>
  <si>
    <t>snack</t>
  </si>
  <si>
    <t>record_id</t>
  </si>
  <si>
    <t>daily</t>
  </si>
  <si>
    <t>fruits</t>
  </si>
  <si>
    <t>updated_at</t>
  </si>
  <si>
    <t>3.00</t>
  </si>
  <si>
    <t>2.00</t>
  </si>
  <si>
    <t>4.00</t>
  </si>
  <si>
    <t>1.00</t>
  </si>
  <si>
    <t>0.00</t>
  </si>
  <si>
    <r>
      <t>1.</t>
    </r>
    <r>
      <rPr>
        <sz val="7"/>
        <color theme="1"/>
        <rFont val="Times New Roman"/>
        <family val="1"/>
      </rPr>
      <t xml:space="preserve">     </t>
    </r>
    <r>
      <rPr>
        <b/>
        <sz val="12"/>
        <color theme="1"/>
        <rFont val="SimSun"/>
        <charset val="134"/>
      </rPr>
      <t>用户</t>
    </r>
    <r>
      <rPr>
        <b/>
        <sz val="12"/>
        <color theme="1"/>
        <rFont val="Times New Roman"/>
        <family val="1"/>
      </rPr>
      <t>1 (user1)</t>
    </r>
    <r>
      <rPr>
        <sz val="12"/>
        <color theme="1"/>
        <rFont val="Times New Roman"/>
        <family val="1"/>
      </rPr>
      <t>:</t>
    </r>
  </si>
  <si>
    <r>
      <t>·</t>
    </r>
    <r>
      <rPr>
        <sz val="7"/>
        <color theme="1"/>
        <rFont val="Times New Roman"/>
        <family val="1"/>
      </rPr>
      <t xml:space="preserve"> </t>
    </r>
    <r>
      <rPr>
        <sz val="12"/>
        <color theme="1"/>
        <rFont val="SimSun"/>
        <charset val="134"/>
      </rPr>
      <t>蔬菜：</t>
    </r>
    <r>
      <rPr>
        <sz val="12"/>
        <color theme="1"/>
        <rFont val="Times New Roman"/>
        <family val="1"/>
      </rPr>
      <t>3.00</t>
    </r>
    <r>
      <rPr>
        <sz val="12"/>
        <color theme="1"/>
        <rFont val="SimSun"/>
        <charset val="134"/>
      </rPr>
      <t>份</t>
    </r>
  </si>
  <si>
    <r>
      <t>·</t>
    </r>
    <r>
      <rPr>
        <sz val="7"/>
        <color theme="1"/>
        <rFont val="Times New Roman"/>
        <family val="1"/>
      </rPr>
      <t xml:space="preserve"> </t>
    </r>
    <r>
      <rPr>
        <sz val="12"/>
        <color theme="1"/>
        <rFont val="SimSun"/>
        <charset val="134"/>
      </rPr>
      <t>水果：</t>
    </r>
    <r>
      <rPr>
        <sz val="12"/>
        <color theme="1"/>
        <rFont val="Times New Roman"/>
        <family val="1"/>
      </rPr>
      <t>2.00</t>
    </r>
    <r>
      <rPr>
        <sz val="12"/>
        <color theme="1"/>
        <rFont val="SimSun"/>
        <charset val="134"/>
      </rPr>
      <t>份</t>
    </r>
  </si>
  <si>
    <r>
      <t>·</t>
    </r>
    <r>
      <rPr>
        <sz val="7"/>
        <color theme="1"/>
        <rFont val="Times New Roman"/>
        <family val="1"/>
      </rPr>
      <t xml:space="preserve"> </t>
    </r>
    <r>
      <rPr>
        <sz val="12"/>
        <color theme="1"/>
        <rFont val="SimSun"/>
        <charset val="134"/>
      </rPr>
      <t>谷物：</t>
    </r>
    <r>
      <rPr>
        <sz val="12"/>
        <color theme="1"/>
        <rFont val="Times New Roman"/>
        <family val="1"/>
      </rPr>
      <t>3.00</t>
    </r>
    <r>
      <rPr>
        <sz val="12"/>
        <color theme="1"/>
        <rFont val="SimSun"/>
        <charset val="134"/>
      </rPr>
      <t>份</t>
    </r>
  </si>
  <si>
    <r>
      <t>·</t>
    </r>
    <r>
      <rPr>
        <sz val="7"/>
        <color theme="1"/>
        <rFont val="Times New Roman"/>
        <family val="1"/>
      </rPr>
      <t xml:space="preserve"> </t>
    </r>
    <r>
      <rPr>
        <sz val="12"/>
        <color theme="1"/>
        <rFont val="SimSun"/>
        <charset val="134"/>
      </rPr>
      <t>肉类：</t>
    </r>
    <r>
      <rPr>
        <sz val="12"/>
        <color theme="1"/>
        <rFont val="Times New Roman"/>
        <family val="1"/>
      </rPr>
      <t>2.00</t>
    </r>
    <r>
      <rPr>
        <sz val="12"/>
        <color theme="1"/>
        <rFont val="SimSun"/>
        <charset val="134"/>
      </rPr>
      <t>份</t>
    </r>
  </si>
  <si>
    <r>
      <t>·</t>
    </r>
    <r>
      <rPr>
        <sz val="7"/>
        <color theme="1"/>
        <rFont val="Times New Roman"/>
        <family val="1"/>
      </rPr>
      <t xml:space="preserve"> </t>
    </r>
    <r>
      <rPr>
        <sz val="12"/>
        <color theme="1"/>
        <rFont val="SimSun"/>
        <charset val="134"/>
      </rPr>
      <t>乳制品：</t>
    </r>
    <r>
      <rPr>
        <sz val="12"/>
        <color theme="1"/>
        <rFont val="Times New Roman"/>
        <family val="1"/>
      </rPr>
      <t>2.00</t>
    </r>
    <r>
      <rPr>
        <sz val="12"/>
        <color theme="1"/>
        <rFont val="SimSun"/>
        <charset val="134"/>
      </rPr>
      <t>份</t>
    </r>
  </si>
  <si>
    <r>
      <t>·</t>
    </r>
    <r>
      <rPr>
        <sz val="7"/>
        <color theme="1"/>
        <rFont val="Times New Roman"/>
        <family val="1"/>
      </rPr>
      <t xml:space="preserve"> </t>
    </r>
    <r>
      <rPr>
        <sz val="12"/>
        <color theme="1"/>
        <rFont val="SimSun"/>
        <charset val="134"/>
      </rPr>
      <t>零食：</t>
    </r>
    <r>
      <rPr>
        <sz val="12"/>
        <color theme="1"/>
        <rFont val="Times New Roman"/>
        <family val="1"/>
      </rPr>
      <t>1.00</t>
    </r>
    <r>
      <rPr>
        <sz val="12"/>
        <color theme="1"/>
        <rFont val="SimSun"/>
        <charset val="134"/>
      </rPr>
      <t>份</t>
    </r>
  </si>
  <si>
    <t>特点：均衡型饮食，注重谷物和蔬菜摄入</t>
  </si>
  <si>
    <r>
      <t>2.</t>
    </r>
    <r>
      <rPr>
        <sz val="7"/>
        <color theme="1"/>
        <rFont val="Times New Roman"/>
        <family val="1"/>
      </rPr>
      <t xml:space="preserve">     </t>
    </r>
    <r>
      <rPr>
        <b/>
        <sz val="12"/>
        <color theme="1"/>
        <rFont val="SimSun"/>
        <charset val="134"/>
      </rPr>
      <t>用户</t>
    </r>
    <r>
      <rPr>
        <b/>
        <sz val="12"/>
        <color theme="1"/>
        <rFont val="Times New Roman"/>
        <family val="1"/>
      </rPr>
      <t>2 (user2)</t>
    </r>
    <r>
      <rPr>
        <sz val="12"/>
        <color theme="1"/>
        <rFont val="Times New Roman"/>
        <family val="1"/>
      </rPr>
      <t>:</t>
    </r>
  </si>
  <si>
    <r>
      <t>·</t>
    </r>
    <r>
      <rPr>
        <sz val="7"/>
        <color theme="1"/>
        <rFont val="Times New Roman"/>
        <family val="1"/>
      </rPr>
      <t xml:space="preserve"> </t>
    </r>
    <r>
      <rPr>
        <sz val="12"/>
        <color theme="1"/>
        <rFont val="SimSun"/>
        <charset val="134"/>
      </rPr>
      <t>蔬菜：</t>
    </r>
    <r>
      <rPr>
        <sz val="12"/>
        <color theme="1"/>
        <rFont val="Times New Roman"/>
        <family val="1"/>
      </rPr>
      <t>2.00</t>
    </r>
    <r>
      <rPr>
        <sz val="12"/>
        <color theme="1"/>
        <rFont val="SimSun"/>
        <charset val="134"/>
      </rPr>
      <t>份</t>
    </r>
  </si>
  <si>
    <r>
      <t>·</t>
    </r>
    <r>
      <rPr>
        <sz val="7"/>
        <color theme="1"/>
        <rFont val="Times New Roman"/>
        <family val="1"/>
      </rPr>
      <t xml:space="preserve"> </t>
    </r>
    <r>
      <rPr>
        <sz val="12"/>
        <color theme="1"/>
        <rFont val="SimSun"/>
        <charset val="134"/>
      </rPr>
      <t>水果：</t>
    </r>
    <r>
      <rPr>
        <sz val="12"/>
        <color theme="1"/>
        <rFont val="Times New Roman"/>
        <family val="1"/>
      </rPr>
      <t>1.00</t>
    </r>
    <r>
      <rPr>
        <sz val="12"/>
        <color theme="1"/>
        <rFont val="SimSun"/>
        <charset val="134"/>
      </rPr>
      <t>份</t>
    </r>
  </si>
  <si>
    <r>
      <t>·</t>
    </r>
    <r>
      <rPr>
        <sz val="7"/>
        <color theme="1"/>
        <rFont val="Times New Roman"/>
        <family val="1"/>
      </rPr>
      <t xml:space="preserve"> </t>
    </r>
    <r>
      <rPr>
        <sz val="12"/>
        <color theme="1"/>
        <rFont val="SimSun"/>
        <charset val="134"/>
      </rPr>
      <t>谷物：</t>
    </r>
    <r>
      <rPr>
        <sz val="12"/>
        <color theme="1"/>
        <rFont val="Times New Roman"/>
        <family val="1"/>
      </rPr>
      <t>2.00</t>
    </r>
    <r>
      <rPr>
        <sz val="12"/>
        <color theme="1"/>
        <rFont val="SimSun"/>
        <charset val="134"/>
      </rPr>
      <t>份</t>
    </r>
  </si>
  <si>
    <r>
      <t>·</t>
    </r>
    <r>
      <rPr>
        <sz val="7"/>
        <color theme="1"/>
        <rFont val="Times New Roman"/>
        <family val="1"/>
      </rPr>
      <t xml:space="preserve"> </t>
    </r>
    <r>
      <rPr>
        <sz val="12"/>
        <color theme="1"/>
        <rFont val="SimSun"/>
        <charset val="134"/>
      </rPr>
      <t>肉类：</t>
    </r>
    <r>
      <rPr>
        <sz val="12"/>
        <color theme="1"/>
        <rFont val="Times New Roman"/>
        <family val="1"/>
      </rPr>
      <t>3.00</t>
    </r>
    <r>
      <rPr>
        <sz val="12"/>
        <color theme="1"/>
        <rFont val="SimSun"/>
        <charset val="134"/>
      </rPr>
      <t>份</t>
    </r>
  </si>
  <si>
    <r>
      <t>·</t>
    </r>
    <r>
      <rPr>
        <sz val="7"/>
        <color theme="1"/>
        <rFont val="Times New Roman"/>
        <family val="1"/>
      </rPr>
      <t xml:space="preserve"> </t>
    </r>
    <r>
      <rPr>
        <sz val="12"/>
        <color theme="1"/>
        <rFont val="SimSun"/>
        <charset val="134"/>
      </rPr>
      <t>乳制品：</t>
    </r>
    <r>
      <rPr>
        <sz val="12"/>
        <color theme="1"/>
        <rFont val="Times New Roman"/>
        <family val="1"/>
      </rPr>
      <t>1.00</t>
    </r>
    <r>
      <rPr>
        <sz val="12"/>
        <color theme="1"/>
        <rFont val="SimSun"/>
        <charset val="134"/>
      </rPr>
      <t>份</t>
    </r>
  </si>
  <si>
    <r>
      <t>·</t>
    </r>
    <r>
      <rPr>
        <sz val="7"/>
        <color theme="1"/>
        <rFont val="Times New Roman"/>
        <family val="1"/>
      </rPr>
      <t xml:space="preserve"> </t>
    </r>
    <r>
      <rPr>
        <sz val="12"/>
        <color theme="1"/>
        <rFont val="SimSun"/>
        <charset val="134"/>
      </rPr>
      <t>零食：</t>
    </r>
    <r>
      <rPr>
        <sz val="12"/>
        <color theme="1"/>
        <rFont val="Times New Roman"/>
        <family val="1"/>
      </rPr>
      <t>0.00</t>
    </r>
    <r>
      <rPr>
        <sz val="12"/>
        <color theme="1"/>
        <rFont val="SimSun"/>
        <charset val="134"/>
      </rPr>
      <t>份</t>
    </r>
  </si>
  <si>
    <t>特点：高蛋白饮食，注重肉类摄入，严格控制零食</t>
  </si>
  <si>
    <r>
      <t>3.</t>
    </r>
    <r>
      <rPr>
        <sz val="7"/>
        <color theme="1"/>
        <rFont val="Times New Roman"/>
        <family val="1"/>
      </rPr>
      <t xml:space="preserve">     </t>
    </r>
    <r>
      <rPr>
        <b/>
        <sz val="12"/>
        <color theme="1"/>
        <rFont val="SimSun"/>
        <charset val="134"/>
      </rPr>
      <t>用户</t>
    </r>
    <r>
      <rPr>
        <b/>
        <sz val="12"/>
        <color theme="1"/>
        <rFont val="Times New Roman"/>
        <family val="1"/>
      </rPr>
      <t>3 (user3)</t>
    </r>
    <r>
      <rPr>
        <sz val="12"/>
        <color theme="1"/>
        <rFont val="Times New Roman"/>
        <family val="1"/>
      </rPr>
      <t>:</t>
    </r>
  </si>
  <si>
    <r>
      <t>·</t>
    </r>
    <r>
      <rPr>
        <sz val="7"/>
        <color theme="1"/>
        <rFont val="Times New Roman"/>
        <family val="1"/>
      </rPr>
      <t xml:space="preserve"> </t>
    </r>
    <r>
      <rPr>
        <sz val="12"/>
        <color theme="1"/>
        <rFont val="SimSun"/>
        <charset val="134"/>
      </rPr>
      <t>蔬菜：</t>
    </r>
    <r>
      <rPr>
        <sz val="12"/>
        <color theme="1"/>
        <rFont val="Times New Roman"/>
        <family val="1"/>
      </rPr>
      <t>4.00</t>
    </r>
    <r>
      <rPr>
        <sz val="12"/>
        <color theme="1"/>
        <rFont val="SimSun"/>
        <charset val="134"/>
      </rPr>
      <t>份</t>
    </r>
  </si>
  <si>
    <r>
      <t>·</t>
    </r>
    <r>
      <rPr>
        <sz val="7"/>
        <color theme="1"/>
        <rFont val="Times New Roman"/>
        <family val="1"/>
      </rPr>
      <t xml:space="preserve"> </t>
    </r>
    <r>
      <rPr>
        <sz val="12"/>
        <color theme="1"/>
        <rFont val="SimSun"/>
        <charset val="134"/>
      </rPr>
      <t>肉类：</t>
    </r>
    <r>
      <rPr>
        <sz val="12"/>
        <color theme="1"/>
        <rFont val="Times New Roman"/>
        <family val="1"/>
      </rPr>
      <t>1.00</t>
    </r>
    <r>
      <rPr>
        <sz val="12"/>
        <color theme="1"/>
        <rFont val="SimSun"/>
        <charset val="134"/>
      </rPr>
      <t>份</t>
    </r>
  </si>
  <si>
    <t>特点：素食倾向，高蔬菜摄入，低肉类摄入</t>
  </si>
  <si>
    <r>
      <t>4.</t>
    </r>
    <r>
      <rPr>
        <sz val="7"/>
        <color theme="1"/>
        <rFont val="Times New Roman"/>
        <family val="1"/>
      </rPr>
      <t xml:space="preserve">     </t>
    </r>
    <r>
      <rPr>
        <b/>
        <sz val="12"/>
        <color theme="1"/>
        <rFont val="SimSun"/>
        <charset val="134"/>
      </rPr>
      <t>用户</t>
    </r>
    <r>
      <rPr>
        <b/>
        <sz val="12"/>
        <color theme="1"/>
        <rFont val="Times New Roman"/>
        <family val="1"/>
      </rPr>
      <t>4 (user4)</t>
    </r>
    <r>
      <rPr>
        <sz val="12"/>
        <color theme="1"/>
        <rFont val="Times New Roman"/>
        <family val="1"/>
      </rPr>
      <t>:</t>
    </r>
  </si>
  <si>
    <t>特点：均衡型饮食，注重谷物摄入</t>
  </si>
  <si>
    <r>
      <t>5.</t>
    </r>
    <r>
      <rPr>
        <sz val="7"/>
        <color theme="1"/>
        <rFont val="Times New Roman"/>
        <family val="1"/>
      </rPr>
      <t xml:space="preserve">     </t>
    </r>
    <r>
      <rPr>
        <b/>
        <sz val="12"/>
        <color theme="1"/>
        <rFont val="SimSun"/>
        <charset val="134"/>
      </rPr>
      <t>用户</t>
    </r>
    <r>
      <rPr>
        <b/>
        <sz val="12"/>
        <color theme="1"/>
        <rFont val="Times New Roman"/>
        <family val="1"/>
      </rPr>
      <t>5 (user5)</t>
    </r>
    <r>
      <rPr>
        <sz val="12"/>
        <color theme="1"/>
        <rFont val="Times New Roman"/>
        <family val="1"/>
      </rPr>
      <t>:</t>
    </r>
  </si>
  <si>
    <r>
      <t>·</t>
    </r>
    <r>
      <rPr>
        <sz val="7"/>
        <color theme="1"/>
        <rFont val="Times New Roman"/>
        <family val="1"/>
      </rPr>
      <t xml:space="preserve"> </t>
    </r>
    <r>
      <rPr>
        <sz val="12"/>
        <color theme="1"/>
        <rFont val="SimSun"/>
        <charset val="134"/>
      </rPr>
      <t>水果：</t>
    </r>
    <r>
      <rPr>
        <sz val="12"/>
        <color theme="1"/>
        <rFont val="Times New Roman"/>
        <family val="1"/>
      </rPr>
      <t>3.00</t>
    </r>
    <r>
      <rPr>
        <sz val="12"/>
        <color theme="1"/>
        <rFont val="SimSun"/>
        <charset val="134"/>
      </rPr>
      <t>份</t>
    </r>
  </si>
  <si>
    <r>
      <t>·</t>
    </r>
    <r>
      <rPr>
        <sz val="7"/>
        <color theme="1"/>
        <rFont val="Times New Roman"/>
        <family val="1"/>
      </rPr>
      <t xml:space="preserve"> </t>
    </r>
    <r>
      <rPr>
        <sz val="12"/>
        <color theme="1"/>
        <rFont val="SimSun"/>
        <charset val="134"/>
      </rPr>
      <t>零食：</t>
    </r>
    <r>
      <rPr>
        <sz val="12"/>
        <color theme="1"/>
        <rFont val="Times New Roman"/>
        <family val="1"/>
      </rPr>
      <t>2.00</t>
    </r>
    <r>
      <rPr>
        <sz val="12"/>
        <color theme="1"/>
        <rFont val="SimSun"/>
        <charset val="134"/>
      </rPr>
      <t>份</t>
    </r>
  </si>
  <si>
    <t>特点：高蔬果饮食，允许较多零食摄入</t>
  </si>
  <si>
    <r>
      <t>6.</t>
    </r>
    <r>
      <rPr>
        <sz val="7"/>
        <color theme="1"/>
        <rFont val="Times New Roman"/>
        <family val="1"/>
      </rPr>
      <t xml:space="preserve">     </t>
    </r>
    <r>
      <rPr>
        <b/>
        <sz val="12"/>
        <color theme="1"/>
        <rFont val="SimSun"/>
        <charset val="134"/>
      </rPr>
      <t>用户</t>
    </r>
    <r>
      <rPr>
        <b/>
        <sz val="12"/>
        <color theme="1"/>
        <rFont val="Times New Roman"/>
        <family val="1"/>
      </rPr>
      <t>6 (user6)</t>
    </r>
    <r>
      <rPr>
        <sz val="12"/>
        <color theme="1"/>
        <rFont val="Times New Roman"/>
        <family val="1"/>
      </rPr>
      <t>:</t>
    </r>
  </si>
  <si>
    <t>特点：完全均衡型饮食，所有类别摄入量相同这些目标设置反映了不同的饮食偏好和健康目标：</t>
  </si>
  <si>
    <r>
      <t>·</t>
    </r>
    <r>
      <rPr>
        <sz val="7"/>
        <color theme="1"/>
        <rFont val="Times New Roman"/>
        <family val="1"/>
      </rPr>
      <t xml:space="preserve"> </t>
    </r>
    <r>
      <rPr>
        <sz val="12"/>
        <color theme="1"/>
        <rFont val="SimSun"/>
        <charset val="134"/>
      </rPr>
      <t>有的用户注重高蛋白（用户</t>
    </r>
    <r>
      <rPr>
        <sz val="12"/>
        <color theme="1"/>
        <rFont val="Times New Roman"/>
        <family val="1"/>
      </rPr>
      <t>2</t>
    </r>
    <r>
      <rPr>
        <sz val="12"/>
        <color theme="1"/>
        <rFont val="SimSun"/>
        <charset val="134"/>
      </rPr>
      <t>）</t>
    </r>
  </si>
  <si>
    <r>
      <t>·</t>
    </r>
    <r>
      <rPr>
        <sz val="7"/>
        <color theme="1"/>
        <rFont val="Times New Roman"/>
        <family val="1"/>
      </rPr>
      <t xml:space="preserve"> </t>
    </r>
    <r>
      <rPr>
        <sz val="12"/>
        <color theme="1"/>
        <rFont val="SimSun"/>
        <charset val="134"/>
      </rPr>
      <t>有的用户倾向素食（用户</t>
    </r>
    <r>
      <rPr>
        <sz val="12"/>
        <color theme="1"/>
        <rFont val="Times New Roman"/>
        <family val="1"/>
      </rPr>
      <t>3</t>
    </r>
    <r>
      <rPr>
        <sz val="12"/>
        <color theme="1"/>
        <rFont val="SimSun"/>
        <charset val="134"/>
      </rPr>
      <t>）</t>
    </r>
  </si>
  <si>
    <r>
      <t>·</t>
    </r>
    <r>
      <rPr>
        <sz val="7"/>
        <color theme="1"/>
        <rFont val="Times New Roman"/>
        <family val="1"/>
      </rPr>
      <t xml:space="preserve"> </t>
    </r>
    <r>
      <rPr>
        <sz val="12"/>
        <color theme="1"/>
        <rFont val="SimSun"/>
        <charset val="134"/>
      </rPr>
      <t>有的用户注重蔬果摄入（用户</t>
    </r>
    <r>
      <rPr>
        <sz val="12"/>
        <color theme="1"/>
        <rFont val="Times New Roman"/>
        <family val="1"/>
      </rPr>
      <t>5</t>
    </r>
    <r>
      <rPr>
        <sz val="12"/>
        <color theme="1"/>
        <rFont val="SimSun"/>
        <charset val="134"/>
      </rPr>
      <t>）</t>
    </r>
  </si>
  <si>
    <r>
      <t>·</t>
    </r>
    <r>
      <rPr>
        <sz val="7"/>
        <color theme="1"/>
        <rFont val="Times New Roman"/>
        <family val="1"/>
      </rPr>
      <t xml:space="preserve"> </t>
    </r>
    <r>
      <rPr>
        <sz val="12"/>
        <color theme="1"/>
        <rFont val="SimSun"/>
        <charset val="134"/>
      </rPr>
      <t>有的用户追求完全均衡（用户</t>
    </r>
    <r>
      <rPr>
        <sz val="12"/>
        <color theme="1"/>
        <rFont val="Times New Roman"/>
        <family val="1"/>
      </rPr>
      <t>6</t>
    </r>
    <r>
      <rPr>
        <sz val="12"/>
        <color theme="1"/>
        <rFont val="SimSun"/>
        <charset val="134"/>
      </rPr>
      <t>）</t>
    </r>
  </si>
  <si>
    <r>
      <t>·</t>
    </r>
    <r>
      <rPr>
        <sz val="7"/>
        <color theme="1"/>
        <rFont val="Times New Roman"/>
        <family val="1"/>
      </rPr>
      <t xml:space="preserve"> </t>
    </r>
    <r>
      <rPr>
        <sz val="12"/>
        <color theme="1"/>
        <rFont val="SimSun"/>
        <charset val="134"/>
      </rPr>
      <t>有的用户严格控制零食（用户</t>
    </r>
    <r>
      <rPr>
        <sz val="12"/>
        <color theme="1"/>
        <rFont val="Times New Roman"/>
        <family val="1"/>
      </rPr>
      <t>2</t>
    </r>
    <r>
      <rPr>
        <sz val="12"/>
        <color theme="1"/>
        <rFont val="SimSun"/>
        <charset val="134"/>
      </rPr>
      <t>）</t>
    </r>
  </si>
  <si>
    <r>
      <t>·</t>
    </r>
    <r>
      <rPr>
        <sz val="7"/>
        <color theme="1"/>
        <rFont val="Times New Roman"/>
        <family val="1"/>
      </rPr>
      <t xml:space="preserve"> </t>
    </r>
    <r>
      <rPr>
        <sz val="12"/>
        <color theme="1"/>
        <rFont val="SimSun"/>
        <charset val="134"/>
      </rPr>
      <t>有的用户允许适量零食（用户</t>
    </r>
    <r>
      <rPr>
        <sz val="12"/>
        <color theme="1"/>
        <rFont val="Times New Roman"/>
        <family val="1"/>
      </rPr>
      <t>1</t>
    </r>
    <r>
      <rPr>
        <sz val="12"/>
        <color theme="1"/>
        <rFont val="SimSun"/>
        <charset val="134"/>
      </rPr>
      <t>、</t>
    </r>
    <r>
      <rPr>
        <sz val="12"/>
        <color theme="1"/>
        <rFont val="Times New Roman"/>
        <family val="1"/>
      </rPr>
      <t>3</t>
    </r>
    <r>
      <rPr>
        <sz val="12"/>
        <color theme="1"/>
        <rFont val="SimSun"/>
        <charset val="134"/>
      </rPr>
      <t>、</t>
    </r>
    <r>
      <rPr>
        <sz val="12"/>
        <color theme="1"/>
        <rFont val="Times New Roman"/>
        <family val="1"/>
      </rPr>
      <t>4</t>
    </r>
    <r>
      <rPr>
        <sz val="12"/>
        <color theme="1"/>
        <rFont val="SimSun"/>
        <charset val="134"/>
      </rPr>
      <t>、</t>
    </r>
    <r>
      <rPr>
        <sz val="12"/>
        <color theme="1"/>
        <rFont val="Times New Roman"/>
        <family val="1"/>
      </rPr>
      <t>5</t>
    </r>
    <r>
      <rPr>
        <sz val="12"/>
        <color theme="1"/>
        <rFont val="SimSun"/>
        <charset val="134"/>
      </rPr>
      <t>、</t>
    </r>
    <r>
      <rPr>
        <sz val="12"/>
        <color theme="1"/>
        <rFont val="Times New Roman"/>
        <family val="1"/>
      </rPr>
      <t>6</t>
    </r>
    <r>
      <rPr>
        <sz val="12"/>
        <color theme="1"/>
        <rFont val="SimSun"/>
        <charset val="134"/>
      </rPr>
      <t>）</t>
    </r>
  </si>
  <si>
    <t>User</t>
  </si>
  <si>
    <t>age</t>
  </si>
  <si>
    <t>Goal Setting</t>
  </si>
  <si>
    <t>Meal Logging</t>
  </si>
  <si>
    <t>Sum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</si>
</sst>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yyyy\-mm\-dd"/>
    <numFmt numFmtId="165" formatCode="yyyy\-mm\-dd\ hh:mm:ss"/>
  </numFmts>
  <fonts count="10" x14ac:knownFonts="1">
    <font>
      <sz val="11"/>
      <color theme="1"/>
      <name val="Calibri"/>
      <family val="2"/>
      <scheme val="minor"/>
    </font>
    <font>
      <b/>
      <sz val="11"/>
      <color theme="1"/>
      <name val="Calibri"/>
      <family val="2"/>
      <scheme val="minor"/>
    </font>
    <font>
      <sz val="12"/>
      <color theme="1"/>
      <name val="Aptos"/>
    </font>
    <font>
      <sz val="12"/>
      <color theme="1"/>
      <name val="Times New Roman"/>
      <family val="1"/>
    </font>
    <font>
      <sz val="7"/>
      <color theme="1"/>
      <name val="Times New Roman"/>
      <family val="1"/>
    </font>
    <font>
      <b/>
      <sz val="12"/>
      <color theme="1"/>
      <name val="SimSun"/>
      <charset val="134"/>
    </font>
    <font>
      <b/>
      <sz val="12"/>
      <color theme="1"/>
      <name val="Times New Roman"/>
      <family val="1"/>
    </font>
    <font>
      <sz val="10"/>
      <color theme="1"/>
      <name val="Symbol"/>
      <charset val="2"/>
    </font>
    <font>
      <sz val="12"/>
      <color theme="1"/>
      <name val="SimSun"/>
      <charset val="134"/>
    </font>
    <font>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indexed="64"/>
      </bottom>
      <diagonal/>
    </border>
  </borders>
  <cellStyleXfs count="2">
    <xf numFmtId="0" fontId="0" fillId="0" borderId="0"/>
    <xf numFmtId="43" fontId="9" fillId="0" borderId="0" applyFont="0" applyFill="0" applyBorder="0" applyAlignment="0" applyProtection="0"/>
  </cellStyleXfs>
  <cellXfs count="16">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xf numFmtId="0" fontId="3" fillId="0" borderId="0" xfId="0" applyFont="1" applyAlignment="1">
      <alignment horizontal="left" vertical="center" indent="8"/>
    </xf>
    <xf numFmtId="0" fontId="7" fillId="0" borderId="0" xfId="0" applyFont="1" applyAlignment="1">
      <alignment horizontal="left" vertical="center" indent="8"/>
    </xf>
    <xf numFmtId="0" fontId="8" fillId="0" borderId="0" xfId="0" applyFont="1" applyAlignment="1">
      <alignment vertical="center"/>
    </xf>
    <xf numFmtId="0" fontId="2" fillId="0" borderId="0" xfId="0" applyFont="1" applyAlignment="1">
      <alignment vertical="center"/>
    </xf>
    <xf numFmtId="0" fontId="1" fillId="0" borderId="2" xfId="0" applyFont="1" applyFill="1" applyBorder="1" applyAlignment="1">
      <alignment horizontal="center" vertical="top"/>
    </xf>
    <xf numFmtId="0" fontId="1" fillId="0" borderId="3" xfId="0" applyFont="1" applyFill="1" applyBorder="1" applyAlignment="1">
      <alignment horizontal="center" vertical="top"/>
    </xf>
    <xf numFmtId="0" fontId="1" fillId="0" borderId="1" xfId="0" applyFont="1" applyFill="1" applyBorder="1" applyAlignment="1">
      <alignment horizontal="center" vertical="top"/>
    </xf>
    <xf numFmtId="0" fontId="1" fillId="0" borderId="1" xfId="0" applyFont="1" applyBorder="1" applyAlignment="1">
      <alignment horizontal="center" vertical="center"/>
    </xf>
    <xf numFmtId="0" fontId="0" fillId="0" borderId="0" xfId="0" applyAlignment="1">
      <alignment horizontal="center" vertical="center"/>
    </xf>
    <xf numFmtId="0" fontId="0" fillId="0" borderId="0" xfId="1" applyNumberFormat="1" applyFont="1" applyAlignment="1">
      <alignment horizontal="center" vertical="center"/>
    </xf>
    <xf numFmtId="0" fontId="0" fillId="0" borderId="0" xfId="0" pivotButton="1"/>
    <xf numFmtId="0" fontId="0" fillId="0" borderId="0" xfId="0" applyNumberFormat="1"/>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User</a:t>
            </a:r>
            <a:r>
              <a:rPr lang="en-GB" baseline="0"/>
              <a:t> Goal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Sheet4!$B$12</c:f>
              <c:strCache>
                <c:ptCount val="1"/>
                <c:pt idx="0">
                  <c:v>vegetables</c:v>
                </c:pt>
              </c:strCache>
            </c:strRef>
          </c:tx>
          <c:spPr>
            <a:solidFill>
              <a:schemeClr val="accent1"/>
            </a:solidFill>
            <a:ln>
              <a:noFill/>
            </a:ln>
            <a:effectLst/>
          </c:spPr>
          <c:invertIfNegative val="0"/>
          <c:cat>
            <c:strRef>
              <c:f>Sheet4!$A$13:$A$18</c:f>
              <c:strCache>
                <c:ptCount val="6"/>
                <c:pt idx="0">
                  <c:v>user1</c:v>
                </c:pt>
                <c:pt idx="1">
                  <c:v>user2</c:v>
                </c:pt>
                <c:pt idx="2">
                  <c:v>user3</c:v>
                </c:pt>
                <c:pt idx="3">
                  <c:v>user4</c:v>
                </c:pt>
                <c:pt idx="4">
                  <c:v>user5</c:v>
                </c:pt>
                <c:pt idx="5">
                  <c:v>user6</c:v>
                </c:pt>
              </c:strCache>
            </c:strRef>
          </c:cat>
          <c:val>
            <c:numRef>
              <c:f>Sheet4!$B$13:$B$18</c:f>
              <c:numCache>
                <c:formatCode>General</c:formatCode>
                <c:ptCount val="6"/>
                <c:pt idx="0">
                  <c:v>3</c:v>
                </c:pt>
                <c:pt idx="1">
                  <c:v>2</c:v>
                </c:pt>
                <c:pt idx="2">
                  <c:v>4</c:v>
                </c:pt>
                <c:pt idx="3">
                  <c:v>2</c:v>
                </c:pt>
                <c:pt idx="4">
                  <c:v>3</c:v>
                </c:pt>
                <c:pt idx="5">
                  <c:v>2</c:v>
                </c:pt>
              </c:numCache>
            </c:numRef>
          </c:val>
          <c:extLst>
            <c:ext xmlns:c16="http://schemas.microsoft.com/office/drawing/2014/chart" uri="{C3380CC4-5D6E-409C-BE32-E72D297353CC}">
              <c16:uniqueId val="{00000000-9F08-884C-B7EC-832EAAC87B9E}"/>
            </c:ext>
          </c:extLst>
        </c:ser>
        <c:ser>
          <c:idx val="1"/>
          <c:order val="1"/>
          <c:tx>
            <c:strRef>
              <c:f>Sheet4!$C$12</c:f>
              <c:strCache>
                <c:ptCount val="1"/>
                <c:pt idx="0">
                  <c:v>fruits</c:v>
                </c:pt>
              </c:strCache>
            </c:strRef>
          </c:tx>
          <c:spPr>
            <a:solidFill>
              <a:schemeClr val="accent2"/>
            </a:solidFill>
            <a:ln>
              <a:noFill/>
            </a:ln>
            <a:effectLst/>
          </c:spPr>
          <c:invertIfNegative val="0"/>
          <c:cat>
            <c:strRef>
              <c:f>Sheet4!$A$13:$A$18</c:f>
              <c:strCache>
                <c:ptCount val="6"/>
                <c:pt idx="0">
                  <c:v>user1</c:v>
                </c:pt>
                <c:pt idx="1">
                  <c:v>user2</c:v>
                </c:pt>
                <c:pt idx="2">
                  <c:v>user3</c:v>
                </c:pt>
                <c:pt idx="3">
                  <c:v>user4</c:v>
                </c:pt>
                <c:pt idx="4">
                  <c:v>user5</c:v>
                </c:pt>
                <c:pt idx="5">
                  <c:v>user6</c:v>
                </c:pt>
              </c:strCache>
            </c:strRef>
          </c:cat>
          <c:val>
            <c:numRef>
              <c:f>Sheet4!$C$13:$C$18</c:f>
              <c:numCache>
                <c:formatCode>General</c:formatCode>
                <c:ptCount val="6"/>
                <c:pt idx="0">
                  <c:v>2</c:v>
                </c:pt>
                <c:pt idx="1">
                  <c:v>1</c:v>
                </c:pt>
                <c:pt idx="2">
                  <c:v>2</c:v>
                </c:pt>
                <c:pt idx="3">
                  <c:v>2</c:v>
                </c:pt>
                <c:pt idx="4">
                  <c:v>3</c:v>
                </c:pt>
                <c:pt idx="5">
                  <c:v>2</c:v>
                </c:pt>
              </c:numCache>
            </c:numRef>
          </c:val>
          <c:extLst>
            <c:ext xmlns:c16="http://schemas.microsoft.com/office/drawing/2014/chart" uri="{C3380CC4-5D6E-409C-BE32-E72D297353CC}">
              <c16:uniqueId val="{00000001-9F08-884C-B7EC-832EAAC87B9E}"/>
            </c:ext>
          </c:extLst>
        </c:ser>
        <c:ser>
          <c:idx val="2"/>
          <c:order val="2"/>
          <c:tx>
            <c:strRef>
              <c:f>Sheet4!$D$12</c:f>
              <c:strCache>
                <c:ptCount val="1"/>
                <c:pt idx="0">
                  <c:v>grains</c:v>
                </c:pt>
              </c:strCache>
            </c:strRef>
          </c:tx>
          <c:spPr>
            <a:solidFill>
              <a:schemeClr val="accent3"/>
            </a:solidFill>
            <a:ln>
              <a:noFill/>
            </a:ln>
            <a:effectLst/>
          </c:spPr>
          <c:invertIfNegative val="0"/>
          <c:cat>
            <c:strRef>
              <c:f>Sheet4!$A$13:$A$18</c:f>
              <c:strCache>
                <c:ptCount val="6"/>
                <c:pt idx="0">
                  <c:v>user1</c:v>
                </c:pt>
                <c:pt idx="1">
                  <c:v>user2</c:v>
                </c:pt>
                <c:pt idx="2">
                  <c:v>user3</c:v>
                </c:pt>
                <c:pt idx="3">
                  <c:v>user4</c:v>
                </c:pt>
                <c:pt idx="4">
                  <c:v>user5</c:v>
                </c:pt>
                <c:pt idx="5">
                  <c:v>user6</c:v>
                </c:pt>
              </c:strCache>
            </c:strRef>
          </c:cat>
          <c:val>
            <c:numRef>
              <c:f>Sheet4!$D$13:$D$18</c:f>
              <c:numCache>
                <c:formatCode>General</c:formatCode>
                <c:ptCount val="6"/>
                <c:pt idx="0">
                  <c:v>3</c:v>
                </c:pt>
                <c:pt idx="1">
                  <c:v>2</c:v>
                </c:pt>
                <c:pt idx="2">
                  <c:v>2</c:v>
                </c:pt>
                <c:pt idx="3">
                  <c:v>3</c:v>
                </c:pt>
                <c:pt idx="4">
                  <c:v>2</c:v>
                </c:pt>
                <c:pt idx="5">
                  <c:v>2</c:v>
                </c:pt>
              </c:numCache>
            </c:numRef>
          </c:val>
          <c:extLst>
            <c:ext xmlns:c16="http://schemas.microsoft.com/office/drawing/2014/chart" uri="{C3380CC4-5D6E-409C-BE32-E72D297353CC}">
              <c16:uniqueId val="{00000002-9F08-884C-B7EC-832EAAC87B9E}"/>
            </c:ext>
          </c:extLst>
        </c:ser>
        <c:ser>
          <c:idx val="3"/>
          <c:order val="3"/>
          <c:tx>
            <c:strRef>
              <c:f>Sheet4!$E$12</c:f>
              <c:strCache>
                <c:ptCount val="1"/>
                <c:pt idx="0">
                  <c:v>meat</c:v>
                </c:pt>
              </c:strCache>
            </c:strRef>
          </c:tx>
          <c:spPr>
            <a:solidFill>
              <a:schemeClr val="accent4"/>
            </a:solidFill>
            <a:ln>
              <a:noFill/>
            </a:ln>
            <a:effectLst/>
          </c:spPr>
          <c:invertIfNegative val="0"/>
          <c:cat>
            <c:strRef>
              <c:f>Sheet4!$A$13:$A$18</c:f>
              <c:strCache>
                <c:ptCount val="6"/>
                <c:pt idx="0">
                  <c:v>user1</c:v>
                </c:pt>
                <c:pt idx="1">
                  <c:v>user2</c:v>
                </c:pt>
                <c:pt idx="2">
                  <c:v>user3</c:v>
                </c:pt>
                <c:pt idx="3">
                  <c:v>user4</c:v>
                </c:pt>
                <c:pt idx="4">
                  <c:v>user5</c:v>
                </c:pt>
                <c:pt idx="5">
                  <c:v>user6</c:v>
                </c:pt>
              </c:strCache>
            </c:strRef>
          </c:cat>
          <c:val>
            <c:numRef>
              <c:f>Sheet4!$E$13:$E$18</c:f>
              <c:numCache>
                <c:formatCode>General</c:formatCode>
                <c:ptCount val="6"/>
                <c:pt idx="0">
                  <c:v>2</c:v>
                </c:pt>
                <c:pt idx="1">
                  <c:v>3</c:v>
                </c:pt>
                <c:pt idx="2">
                  <c:v>1</c:v>
                </c:pt>
                <c:pt idx="3">
                  <c:v>2</c:v>
                </c:pt>
                <c:pt idx="4">
                  <c:v>1</c:v>
                </c:pt>
                <c:pt idx="5">
                  <c:v>2</c:v>
                </c:pt>
              </c:numCache>
            </c:numRef>
          </c:val>
          <c:extLst>
            <c:ext xmlns:c16="http://schemas.microsoft.com/office/drawing/2014/chart" uri="{C3380CC4-5D6E-409C-BE32-E72D297353CC}">
              <c16:uniqueId val="{00000003-9F08-884C-B7EC-832EAAC87B9E}"/>
            </c:ext>
          </c:extLst>
        </c:ser>
        <c:ser>
          <c:idx val="4"/>
          <c:order val="4"/>
          <c:tx>
            <c:strRef>
              <c:f>Sheet4!$F$12</c:f>
              <c:strCache>
                <c:ptCount val="1"/>
                <c:pt idx="0">
                  <c:v>dairy</c:v>
                </c:pt>
              </c:strCache>
            </c:strRef>
          </c:tx>
          <c:spPr>
            <a:solidFill>
              <a:schemeClr val="accent5"/>
            </a:solidFill>
            <a:ln>
              <a:noFill/>
            </a:ln>
            <a:effectLst/>
          </c:spPr>
          <c:invertIfNegative val="0"/>
          <c:cat>
            <c:strRef>
              <c:f>Sheet4!$A$13:$A$18</c:f>
              <c:strCache>
                <c:ptCount val="6"/>
                <c:pt idx="0">
                  <c:v>user1</c:v>
                </c:pt>
                <c:pt idx="1">
                  <c:v>user2</c:v>
                </c:pt>
                <c:pt idx="2">
                  <c:v>user3</c:v>
                </c:pt>
                <c:pt idx="3">
                  <c:v>user4</c:v>
                </c:pt>
                <c:pt idx="4">
                  <c:v>user5</c:v>
                </c:pt>
                <c:pt idx="5">
                  <c:v>user6</c:v>
                </c:pt>
              </c:strCache>
            </c:strRef>
          </c:cat>
          <c:val>
            <c:numRef>
              <c:f>Sheet4!$F$13:$F$18</c:f>
              <c:numCache>
                <c:formatCode>General</c:formatCode>
                <c:ptCount val="6"/>
                <c:pt idx="0">
                  <c:v>2</c:v>
                </c:pt>
                <c:pt idx="1">
                  <c:v>1</c:v>
                </c:pt>
                <c:pt idx="2">
                  <c:v>2</c:v>
                </c:pt>
                <c:pt idx="3">
                  <c:v>2</c:v>
                </c:pt>
                <c:pt idx="4">
                  <c:v>1</c:v>
                </c:pt>
                <c:pt idx="5">
                  <c:v>2</c:v>
                </c:pt>
              </c:numCache>
            </c:numRef>
          </c:val>
          <c:extLst>
            <c:ext xmlns:c16="http://schemas.microsoft.com/office/drawing/2014/chart" uri="{C3380CC4-5D6E-409C-BE32-E72D297353CC}">
              <c16:uniqueId val="{00000004-9F08-884C-B7EC-832EAAC87B9E}"/>
            </c:ext>
          </c:extLst>
        </c:ser>
        <c:ser>
          <c:idx val="5"/>
          <c:order val="5"/>
          <c:tx>
            <c:strRef>
              <c:f>Sheet4!$G$12</c:f>
              <c:strCache>
                <c:ptCount val="1"/>
                <c:pt idx="0">
                  <c:v>extras</c:v>
                </c:pt>
              </c:strCache>
            </c:strRef>
          </c:tx>
          <c:spPr>
            <a:solidFill>
              <a:schemeClr val="accent6"/>
            </a:solidFill>
            <a:ln>
              <a:noFill/>
            </a:ln>
            <a:effectLst/>
          </c:spPr>
          <c:invertIfNegative val="0"/>
          <c:cat>
            <c:strRef>
              <c:f>Sheet4!$A$13:$A$18</c:f>
              <c:strCache>
                <c:ptCount val="6"/>
                <c:pt idx="0">
                  <c:v>user1</c:v>
                </c:pt>
                <c:pt idx="1">
                  <c:v>user2</c:v>
                </c:pt>
                <c:pt idx="2">
                  <c:v>user3</c:v>
                </c:pt>
                <c:pt idx="3">
                  <c:v>user4</c:v>
                </c:pt>
                <c:pt idx="4">
                  <c:v>user5</c:v>
                </c:pt>
                <c:pt idx="5">
                  <c:v>user6</c:v>
                </c:pt>
              </c:strCache>
            </c:strRef>
          </c:cat>
          <c:val>
            <c:numRef>
              <c:f>Sheet4!$G$13:$G$18</c:f>
              <c:numCache>
                <c:formatCode>General</c:formatCode>
                <c:ptCount val="6"/>
                <c:pt idx="0">
                  <c:v>1</c:v>
                </c:pt>
                <c:pt idx="1">
                  <c:v>0</c:v>
                </c:pt>
                <c:pt idx="2">
                  <c:v>1</c:v>
                </c:pt>
                <c:pt idx="3">
                  <c:v>1</c:v>
                </c:pt>
                <c:pt idx="4">
                  <c:v>2</c:v>
                </c:pt>
                <c:pt idx="5">
                  <c:v>1</c:v>
                </c:pt>
              </c:numCache>
            </c:numRef>
          </c:val>
          <c:extLst>
            <c:ext xmlns:c16="http://schemas.microsoft.com/office/drawing/2014/chart" uri="{C3380CC4-5D6E-409C-BE32-E72D297353CC}">
              <c16:uniqueId val="{00000005-9F08-884C-B7EC-832EAAC87B9E}"/>
            </c:ext>
          </c:extLst>
        </c:ser>
        <c:dLbls>
          <c:showLegendKey val="0"/>
          <c:showVal val="0"/>
          <c:showCatName val="0"/>
          <c:showSerName val="0"/>
          <c:showPercent val="0"/>
          <c:showBubbleSize val="0"/>
        </c:dLbls>
        <c:gapWidth val="219"/>
        <c:overlap val="-27"/>
        <c:axId val="1073192144"/>
        <c:axId val="1166364335"/>
      </c:barChart>
      <c:catAx>
        <c:axId val="107319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364335"/>
        <c:crosses val="autoZero"/>
        <c:auto val="1"/>
        <c:lblAlgn val="ctr"/>
        <c:lblOffset val="100"/>
        <c:noMultiLvlLbl val="0"/>
      </c:catAx>
      <c:valAx>
        <c:axId val="1166364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192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508000</xdr:colOff>
      <xdr:row>1</xdr:row>
      <xdr:rowOff>31750</xdr:rowOff>
    </xdr:from>
    <xdr:to>
      <xdr:col>16</xdr:col>
      <xdr:colOff>101600</xdr:colOff>
      <xdr:row>21</xdr:row>
      <xdr:rowOff>152400</xdr:rowOff>
    </xdr:to>
    <xdr:graphicFrame macro="">
      <xdr:nvGraphicFramePr>
        <xdr:cNvPr id="2" name="Chart 1">
          <a:extLst>
            <a:ext uri="{FF2B5EF4-FFF2-40B4-BE49-F238E27FC236}">
              <a16:creationId xmlns:a16="http://schemas.microsoft.com/office/drawing/2014/main" id="{12A67BCB-F166-D6C8-5006-37FBD16FC1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hongzhengSU" refreshedDate="45777.909662731479" createdVersion="8" refreshedVersion="8" minRefreshableVersion="3" recordCount="294" xr:uid="{902D36A0-0D48-EE47-B971-604766BCA6DA}">
  <cacheSource type="worksheet">
    <worksheetSource ref="A1:H295" sheet="Sheet2"/>
  </cacheSource>
  <cacheFields count="8">
    <cacheField name="user_id" numFmtId="0">
      <sharedItems containsSemiMixedTypes="0" containsString="0" containsNumber="1" containsInteger="1" minValue="1" maxValue="6"/>
    </cacheField>
    <cacheField name="food_id" numFmtId="0">
      <sharedItems containsSemiMixedTypes="0" containsString="0" containsNumber="1" containsInteger="1" minValue="1" maxValue="38"/>
    </cacheField>
    <cacheField name="amount" numFmtId="0">
      <sharedItems containsSemiMixedTypes="0" containsString="0" containsNumber="1" containsInteger="1" minValue="1" maxValue="1"/>
    </cacheField>
    <cacheField name="meal_type" numFmtId="0">
      <sharedItems/>
    </cacheField>
    <cacheField name="food_category" numFmtId="0">
      <sharedItems count="5">
        <s v="fruit"/>
        <s v="grains"/>
        <s v="meat"/>
        <s v="vegetables"/>
        <s v="dairy"/>
      </sharedItems>
    </cacheField>
    <cacheField name="image_url" numFmtId="0">
      <sharedItems containsNonDate="0" containsString="0" containsBlank="1"/>
    </cacheField>
    <cacheField name="record_date" numFmtId="164">
      <sharedItems containsSemiMixedTypes="0" containsNonDate="0" containsDate="1" containsString="0" minDate="2025-04-21T00:00:00" maxDate="2025-04-28T00:00:00" count="7">
        <d v="2025-04-21T00:00:00"/>
        <d v="2025-04-22T00:00:00"/>
        <d v="2025-04-23T00:00:00"/>
        <d v="2025-04-24T00:00:00"/>
        <d v="2025-04-25T00:00:00"/>
        <d v="2025-04-26T00:00:00"/>
        <d v="2025-04-27T00:00:00"/>
      </sharedItems>
    </cacheField>
    <cacheField name="User" numFmtId="0">
      <sharedItems count="6">
        <s v="user1"/>
        <s v="user2"/>
        <s v="user3"/>
        <s v="user4"/>
        <s v="user5"/>
        <s v="user6"/>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4">
  <r>
    <n v="1"/>
    <n v="1"/>
    <n v="1"/>
    <s v="breakfast"/>
    <x v="0"/>
    <m/>
    <x v="0"/>
    <x v="0"/>
  </r>
  <r>
    <n v="1"/>
    <n v="9"/>
    <n v="1"/>
    <s v="breakfast"/>
    <x v="1"/>
    <m/>
    <x v="0"/>
    <x v="0"/>
  </r>
  <r>
    <n v="1"/>
    <n v="25"/>
    <n v="1"/>
    <s v="lunch"/>
    <x v="2"/>
    <m/>
    <x v="0"/>
    <x v="0"/>
  </r>
  <r>
    <n v="1"/>
    <n v="10"/>
    <n v="1"/>
    <s v="lunch"/>
    <x v="3"/>
    <m/>
    <x v="0"/>
    <x v="0"/>
  </r>
  <r>
    <n v="1"/>
    <n v="17"/>
    <n v="1"/>
    <s v="dinner"/>
    <x v="2"/>
    <m/>
    <x v="0"/>
    <x v="0"/>
  </r>
  <r>
    <n v="1"/>
    <n v="11"/>
    <n v="1"/>
    <s v="dinner"/>
    <x v="3"/>
    <m/>
    <x v="0"/>
    <x v="0"/>
  </r>
  <r>
    <n v="1"/>
    <n v="33"/>
    <n v="1"/>
    <s v="snack"/>
    <x v="4"/>
    <m/>
    <x v="0"/>
    <x v="0"/>
  </r>
  <r>
    <n v="1"/>
    <n v="2"/>
    <n v="1"/>
    <s v="breakfast"/>
    <x v="0"/>
    <m/>
    <x v="1"/>
    <x v="0"/>
  </r>
  <r>
    <n v="1"/>
    <n v="10"/>
    <n v="1"/>
    <s v="breakfast"/>
    <x v="1"/>
    <m/>
    <x v="1"/>
    <x v="0"/>
  </r>
  <r>
    <n v="1"/>
    <n v="26"/>
    <n v="1"/>
    <s v="lunch"/>
    <x v="2"/>
    <m/>
    <x v="1"/>
    <x v="0"/>
  </r>
  <r>
    <n v="1"/>
    <n v="11"/>
    <n v="1"/>
    <s v="lunch"/>
    <x v="3"/>
    <m/>
    <x v="1"/>
    <x v="0"/>
  </r>
  <r>
    <n v="1"/>
    <n v="18"/>
    <n v="1"/>
    <s v="dinner"/>
    <x v="2"/>
    <m/>
    <x v="1"/>
    <x v="0"/>
  </r>
  <r>
    <n v="1"/>
    <n v="12"/>
    <n v="1"/>
    <s v="dinner"/>
    <x v="3"/>
    <m/>
    <x v="1"/>
    <x v="0"/>
  </r>
  <r>
    <n v="1"/>
    <n v="34"/>
    <n v="1"/>
    <s v="snack"/>
    <x v="4"/>
    <m/>
    <x v="1"/>
    <x v="0"/>
  </r>
  <r>
    <n v="1"/>
    <n v="3"/>
    <n v="1"/>
    <s v="breakfast"/>
    <x v="0"/>
    <m/>
    <x v="2"/>
    <x v="0"/>
  </r>
  <r>
    <n v="1"/>
    <n v="11"/>
    <n v="1"/>
    <s v="breakfast"/>
    <x v="1"/>
    <m/>
    <x v="2"/>
    <x v="0"/>
  </r>
  <r>
    <n v="1"/>
    <n v="27"/>
    <n v="1"/>
    <s v="lunch"/>
    <x v="2"/>
    <m/>
    <x v="2"/>
    <x v="0"/>
  </r>
  <r>
    <n v="1"/>
    <n v="12"/>
    <n v="1"/>
    <s v="lunch"/>
    <x v="3"/>
    <m/>
    <x v="2"/>
    <x v="0"/>
  </r>
  <r>
    <n v="1"/>
    <n v="19"/>
    <n v="1"/>
    <s v="dinner"/>
    <x v="2"/>
    <m/>
    <x v="2"/>
    <x v="0"/>
  </r>
  <r>
    <n v="1"/>
    <n v="13"/>
    <n v="1"/>
    <s v="dinner"/>
    <x v="3"/>
    <m/>
    <x v="2"/>
    <x v="0"/>
  </r>
  <r>
    <n v="1"/>
    <n v="35"/>
    <n v="1"/>
    <s v="snack"/>
    <x v="4"/>
    <m/>
    <x v="2"/>
    <x v="0"/>
  </r>
  <r>
    <n v="1"/>
    <n v="4"/>
    <n v="1"/>
    <s v="breakfast"/>
    <x v="0"/>
    <m/>
    <x v="3"/>
    <x v="0"/>
  </r>
  <r>
    <n v="1"/>
    <n v="12"/>
    <n v="1"/>
    <s v="breakfast"/>
    <x v="1"/>
    <m/>
    <x v="3"/>
    <x v="0"/>
  </r>
  <r>
    <n v="1"/>
    <n v="28"/>
    <n v="1"/>
    <s v="lunch"/>
    <x v="2"/>
    <m/>
    <x v="3"/>
    <x v="0"/>
  </r>
  <r>
    <n v="1"/>
    <n v="13"/>
    <n v="1"/>
    <s v="lunch"/>
    <x v="3"/>
    <m/>
    <x v="3"/>
    <x v="0"/>
  </r>
  <r>
    <n v="1"/>
    <n v="20"/>
    <n v="1"/>
    <s v="dinner"/>
    <x v="2"/>
    <m/>
    <x v="3"/>
    <x v="0"/>
  </r>
  <r>
    <n v="1"/>
    <n v="14"/>
    <n v="1"/>
    <s v="dinner"/>
    <x v="3"/>
    <m/>
    <x v="3"/>
    <x v="0"/>
  </r>
  <r>
    <n v="1"/>
    <n v="36"/>
    <n v="1"/>
    <s v="snack"/>
    <x v="4"/>
    <m/>
    <x v="3"/>
    <x v="0"/>
  </r>
  <r>
    <n v="1"/>
    <n v="5"/>
    <n v="1"/>
    <s v="breakfast"/>
    <x v="0"/>
    <m/>
    <x v="4"/>
    <x v="0"/>
  </r>
  <r>
    <n v="1"/>
    <n v="13"/>
    <n v="1"/>
    <s v="breakfast"/>
    <x v="1"/>
    <m/>
    <x v="4"/>
    <x v="0"/>
  </r>
  <r>
    <n v="1"/>
    <n v="29"/>
    <n v="1"/>
    <s v="lunch"/>
    <x v="2"/>
    <m/>
    <x v="4"/>
    <x v="0"/>
  </r>
  <r>
    <n v="1"/>
    <n v="14"/>
    <n v="1"/>
    <s v="lunch"/>
    <x v="3"/>
    <m/>
    <x v="4"/>
    <x v="0"/>
  </r>
  <r>
    <n v="1"/>
    <n v="21"/>
    <n v="1"/>
    <s v="dinner"/>
    <x v="2"/>
    <m/>
    <x v="4"/>
    <x v="0"/>
  </r>
  <r>
    <n v="1"/>
    <n v="15"/>
    <n v="1"/>
    <s v="dinner"/>
    <x v="3"/>
    <m/>
    <x v="4"/>
    <x v="0"/>
  </r>
  <r>
    <n v="1"/>
    <n v="37"/>
    <n v="1"/>
    <s v="snack"/>
    <x v="4"/>
    <m/>
    <x v="4"/>
    <x v="0"/>
  </r>
  <r>
    <n v="1"/>
    <n v="6"/>
    <n v="1"/>
    <s v="breakfast"/>
    <x v="0"/>
    <m/>
    <x v="5"/>
    <x v="0"/>
  </r>
  <r>
    <n v="1"/>
    <n v="14"/>
    <n v="1"/>
    <s v="breakfast"/>
    <x v="1"/>
    <m/>
    <x v="5"/>
    <x v="0"/>
  </r>
  <r>
    <n v="1"/>
    <n v="30"/>
    <n v="1"/>
    <s v="lunch"/>
    <x v="2"/>
    <m/>
    <x v="5"/>
    <x v="0"/>
  </r>
  <r>
    <n v="1"/>
    <n v="15"/>
    <n v="1"/>
    <s v="lunch"/>
    <x v="3"/>
    <m/>
    <x v="5"/>
    <x v="0"/>
  </r>
  <r>
    <n v="1"/>
    <n v="22"/>
    <n v="1"/>
    <s v="dinner"/>
    <x v="2"/>
    <m/>
    <x v="5"/>
    <x v="0"/>
  </r>
  <r>
    <n v="1"/>
    <n v="16"/>
    <n v="1"/>
    <s v="dinner"/>
    <x v="3"/>
    <m/>
    <x v="5"/>
    <x v="0"/>
  </r>
  <r>
    <n v="1"/>
    <n v="38"/>
    <n v="1"/>
    <s v="snack"/>
    <x v="4"/>
    <m/>
    <x v="5"/>
    <x v="0"/>
  </r>
  <r>
    <n v="1"/>
    <n v="7"/>
    <n v="1"/>
    <s v="breakfast"/>
    <x v="0"/>
    <m/>
    <x v="6"/>
    <x v="0"/>
  </r>
  <r>
    <n v="1"/>
    <n v="15"/>
    <n v="1"/>
    <s v="breakfast"/>
    <x v="1"/>
    <m/>
    <x v="6"/>
    <x v="0"/>
  </r>
  <r>
    <n v="1"/>
    <n v="31"/>
    <n v="1"/>
    <s v="lunch"/>
    <x v="2"/>
    <m/>
    <x v="6"/>
    <x v="0"/>
  </r>
  <r>
    <n v="1"/>
    <n v="16"/>
    <n v="1"/>
    <s v="lunch"/>
    <x v="3"/>
    <m/>
    <x v="6"/>
    <x v="0"/>
  </r>
  <r>
    <n v="1"/>
    <n v="23"/>
    <n v="1"/>
    <s v="dinner"/>
    <x v="2"/>
    <m/>
    <x v="6"/>
    <x v="0"/>
  </r>
  <r>
    <n v="1"/>
    <n v="9"/>
    <n v="1"/>
    <s v="dinner"/>
    <x v="3"/>
    <m/>
    <x v="6"/>
    <x v="0"/>
  </r>
  <r>
    <n v="1"/>
    <n v="32"/>
    <n v="1"/>
    <s v="snack"/>
    <x v="4"/>
    <m/>
    <x v="6"/>
    <x v="0"/>
  </r>
  <r>
    <n v="2"/>
    <n v="2"/>
    <n v="1"/>
    <s v="breakfast"/>
    <x v="0"/>
    <m/>
    <x v="0"/>
    <x v="1"/>
  </r>
  <r>
    <n v="2"/>
    <n v="10"/>
    <n v="1"/>
    <s v="breakfast"/>
    <x v="1"/>
    <m/>
    <x v="0"/>
    <x v="1"/>
  </r>
  <r>
    <n v="2"/>
    <n v="26"/>
    <n v="1"/>
    <s v="lunch"/>
    <x v="2"/>
    <m/>
    <x v="0"/>
    <x v="1"/>
  </r>
  <r>
    <n v="2"/>
    <n v="11"/>
    <n v="1"/>
    <s v="lunch"/>
    <x v="3"/>
    <m/>
    <x v="0"/>
    <x v="1"/>
  </r>
  <r>
    <n v="2"/>
    <n v="18"/>
    <n v="1"/>
    <s v="dinner"/>
    <x v="2"/>
    <m/>
    <x v="0"/>
    <x v="1"/>
  </r>
  <r>
    <n v="2"/>
    <n v="12"/>
    <n v="1"/>
    <s v="dinner"/>
    <x v="3"/>
    <m/>
    <x v="0"/>
    <x v="1"/>
  </r>
  <r>
    <n v="2"/>
    <n v="34"/>
    <n v="1"/>
    <s v="snack"/>
    <x v="4"/>
    <m/>
    <x v="0"/>
    <x v="1"/>
  </r>
  <r>
    <n v="2"/>
    <n v="3"/>
    <n v="1"/>
    <s v="breakfast"/>
    <x v="0"/>
    <m/>
    <x v="1"/>
    <x v="1"/>
  </r>
  <r>
    <n v="2"/>
    <n v="11"/>
    <n v="1"/>
    <s v="breakfast"/>
    <x v="1"/>
    <m/>
    <x v="1"/>
    <x v="1"/>
  </r>
  <r>
    <n v="2"/>
    <n v="27"/>
    <n v="1"/>
    <s v="lunch"/>
    <x v="2"/>
    <m/>
    <x v="1"/>
    <x v="1"/>
  </r>
  <r>
    <n v="2"/>
    <n v="12"/>
    <n v="1"/>
    <s v="lunch"/>
    <x v="3"/>
    <m/>
    <x v="1"/>
    <x v="1"/>
  </r>
  <r>
    <n v="2"/>
    <n v="19"/>
    <n v="1"/>
    <s v="dinner"/>
    <x v="2"/>
    <m/>
    <x v="1"/>
    <x v="1"/>
  </r>
  <r>
    <n v="2"/>
    <n v="13"/>
    <n v="1"/>
    <s v="dinner"/>
    <x v="3"/>
    <m/>
    <x v="1"/>
    <x v="1"/>
  </r>
  <r>
    <n v="2"/>
    <n v="35"/>
    <n v="1"/>
    <s v="snack"/>
    <x v="4"/>
    <m/>
    <x v="1"/>
    <x v="1"/>
  </r>
  <r>
    <n v="2"/>
    <n v="4"/>
    <n v="1"/>
    <s v="breakfast"/>
    <x v="0"/>
    <m/>
    <x v="2"/>
    <x v="1"/>
  </r>
  <r>
    <n v="2"/>
    <n v="12"/>
    <n v="1"/>
    <s v="breakfast"/>
    <x v="1"/>
    <m/>
    <x v="2"/>
    <x v="1"/>
  </r>
  <r>
    <n v="2"/>
    <n v="28"/>
    <n v="1"/>
    <s v="lunch"/>
    <x v="2"/>
    <m/>
    <x v="2"/>
    <x v="1"/>
  </r>
  <r>
    <n v="2"/>
    <n v="13"/>
    <n v="1"/>
    <s v="lunch"/>
    <x v="3"/>
    <m/>
    <x v="2"/>
    <x v="1"/>
  </r>
  <r>
    <n v="2"/>
    <n v="20"/>
    <n v="1"/>
    <s v="dinner"/>
    <x v="2"/>
    <m/>
    <x v="2"/>
    <x v="1"/>
  </r>
  <r>
    <n v="2"/>
    <n v="14"/>
    <n v="1"/>
    <s v="dinner"/>
    <x v="3"/>
    <m/>
    <x v="2"/>
    <x v="1"/>
  </r>
  <r>
    <n v="2"/>
    <n v="36"/>
    <n v="1"/>
    <s v="snack"/>
    <x v="4"/>
    <m/>
    <x v="2"/>
    <x v="1"/>
  </r>
  <r>
    <n v="2"/>
    <n v="5"/>
    <n v="1"/>
    <s v="breakfast"/>
    <x v="0"/>
    <m/>
    <x v="3"/>
    <x v="1"/>
  </r>
  <r>
    <n v="2"/>
    <n v="13"/>
    <n v="1"/>
    <s v="breakfast"/>
    <x v="1"/>
    <m/>
    <x v="3"/>
    <x v="1"/>
  </r>
  <r>
    <n v="2"/>
    <n v="29"/>
    <n v="1"/>
    <s v="lunch"/>
    <x v="2"/>
    <m/>
    <x v="3"/>
    <x v="1"/>
  </r>
  <r>
    <n v="2"/>
    <n v="14"/>
    <n v="1"/>
    <s v="lunch"/>
    <x v="3"/>
    <m/>
    <x v="3"/>
    <x v="1"/>
  </r>
  <r>
    <n v="2"/>
    <n v="21"/>
    <n v="1"/>
    <s v="dinner"/>
    <x v="2"/>
    <m/>
    <x v="3"/>
    <x v="1"/>
  </r>
  <r>
    <n v="2"/>
    <n v="15"/>
    <n v="1"/>
    <s v="dinner"/>
    <x v="3"/>
    <m/>
    <x v="3"/>
    <x v="1"/>
  </r>
  <r>
    <n v="2"/>
    <n v="37"/>
    <n v="1"/>
    <s v="snack"/>
    <x v="4"/>
    <m/>
    <x v="3"/>
    <x v="1"/>
  </r>
  <r>
    <n v="2"/>
    <n v="6"/>
    <n v="1"/>
    <s v="breakfast"/>
    <x v="0"/>
    <m/>
    <x v="4"/>
    <x v="1"/>
  </r>
  <r>
    <n v="2"/>
    <n v="14"/>
    <n v="1"/>
    <s v="breakfast"/>
    <x v="1"/>
    <m/>
    <x v="4"/>
    <x v="1"/>
  </r>
  <r>
    <n v="2"/>
    <n v="30"/>
    <n v="1"/>
    <s v="lunch"/>
    <x v="2"/>
    <m/>
    <x v="4"/>
    <x v="1"/>
  </r>
  <r>
    <n v="2"/>
    <n v="15"/>
    <n v="1"/>
    <s v="lunch"/>
    <x v="3"/>
    <m/>
    <x v="4"/>
    <x v="1"/>
  </r>
  <r>
    <n v="2"/>
    <n v="22"/>
    <n v="1"/>
    <s v="dinner"/>
    <x v="2"/>
    <m/>
    <x v="4"/>
    <x v="1"/>
  </r>
  <r>
    <n v="2"/>
    <n v="16"/>
    <n v="1"/>
    <s v="dinner"/>
    <x v="3"/>
    <m/>
    <x v="4"/>
    <x v="1"/>
  </r>
  <r>
    <n v="2"/>
    <n v="38"/>
    <n v="1"/>
    <s v="snack"/>
    <x v="4"/>
    <m/>
    <x v="4"/>
    <x v="1"/>
  </r>
  <r>
    <n v="2"/>
    <n v="7"/>
    <n v="1"/>
    <s v="breakfast"/>
    <x v="0"/>
    <m/>
    <x v="5"/>
    <x v="1"/>
  </r>
  <r>
    <n v="2"/>
    <n v="15"/>
    <n v="1"/>
    <s v="breakfast"/>
    <x v="1"/>
    <m/>
    <x v="5"/>
    <x v="1"/>
  </r>
  <r>
    <n v="2"/>
    <n v="31"/>
    <n v="1"/>
    <s v="lunch"/>
    <x v="2"/>
    <m/>
    <x v="5"/>
    <x v="1"/>
  </r>
  <r>
    <n v="2"/>
    <n v="16"/>
    <n v="1"/>
    <s v="lunch"/>
    <x v="3"/>
    <m/>
    <x v="5"/>
    <x v="1"/>
  </r>
  <r>
    <n v="2"/>
    <n v="23"/>
    <n v="1"/>
    <s v="dinner"/>
    <x v="2"/>
    <m/>
    <x v="5"/>
    <x v="1"/>
  </r>
  <r>
    <n v="2"/>
    <n v="9"/>
    <n v="1"/>
    <s v="dinner"/>
    <x v="3"/>
    <m/>
    <x v="5"/>
    <x v="1"/>
  </r>
  <r>
    <n v="2"/>
    <n v="32"/>
    <n v="1"/>
    <s v="snack"/>
    <x v="4"/>
    <m/>
    <x v="5"/>
    <x v="1"/>
  </r>
  <r>
    <n v="2"/>
    <n v="8"/>
    <n v="1"/>
    <s v="breakfast"/>
    <x v="0"/>
    <m/>
    <x v="6"/>
    <x v="1"/>
  </r>
  <r>
    <n v="2"/>
    <n v="16"/>
    <n v="1"/>
    <s v="breakfast"/>
    <x v="1"/>
    <m/>
    <x v="6"/>
    <x v="1"/>
  </r>
  <r>
    <n v="2"/>
    <n v="32"/>
    <n v="1"/>
    <s v="lunch"/>
    <x v="2"/>
    <m/>
    <x v="6"/>
    <x v="1"/>
  </r>
  <r>
    <n v="2"/>
    <n v="9"/>
    <n v="1"/>
    <s v="lunch"/>
    <x v="3"/>
    <m/>
    <x v="6"/>
    <x v="1"/>
  </r>
  <r>
    <n v="2"/>
    <n v="24"/>
    <n v="1"/>
    <s v="dinner"/>
    <x v="2"/>
    <m/>
    <x v="6"/>
    <x v="1"/>
  </r>
  <r>
    <n v="2"/>
    <n v="10"/>
    <n v="1"/>
    <s v="dinner"/>
    <x v="3"/>
    <m/>
    <x v="6"/>
    <x v="1"/>
  </r>
  <r>
    <n v="2"/>
    <n v="33"/>
    <n v="1"/>
    <s v="snack"/>
    <x v="4"/>
    <m/>
    <x v="6"/>
    <x v="1"/>
  </r>
  <r>
    <n v="3"/>
    <n v="3"/>
    <n v="1"/>
    <s v="breakfast"/>
    <x v="0"/>
    <m/>
    <x v="0"/>
    <x v="2"/>
  </r>
  <r>
    <n v="3"/>
    <n v="11"/>
    <n v="1"/>
    <s v="breakfast"/>
    <x v="1"/>
    <m/>
    <x v="0"/>
    <x v="2"/>
  </r>
  <r>
    <n v="3"/>
    <n v="27"/>
    <n v="1"/>
    <s v="lunch"/>
    <x v="2"/>
    <m/>
    <x v="0"/>
    <x v="2"/>
  </r>
  <r>
    <n v="3"/>
    <n v="12"/>
    <n v="1"/>
    <s v="lunch"/>
    <x v="3"/>
    <m/>
    <x v="0"/>
    <x v="2"/>
  </r>
  <r>
    <n v="3"/>
    <n v="19"/>
    <n v="1"/>
    <s v="dinner"/>
    <x v="2"/>
    <m/>
    <x v="0"/>
    <x v="2"/>
  </r>
  <r>
    <n v="3"/>
    <n v="13"/>
    <n v="1"/>
    <s v="dinner"/>
    <x v="3"/>
    <m/>
    <x v="0"/>
    <x v="2"/>
  </r>
  <r>
    <n v="3"/>
    <n v="35"/>
    <n v="1"/>
    <s v="snack"/>
    <x v="4"/>
    <m/>
    <x v="0"/>
    <x v="2"/>
  </r>
  <r>
    <n v="3"/>
    <n v="4"/>
    <n v="1"/>
    <s v="breakfast"/>
    <x v="0"/>
    <m/>
    <x v="1"/>
    <x v="2"/>
  </r>
  <r>
    <n v="3"/>
    <n v="12"/>
    <n v="1"/>
    <s v="breakfast"/>
    <x v="1"/>
    <m/>
    <x v="1"/>
    <x v="2"/>
  </r>
  <r>
    <n v="3"/>
    <n v="28"/>
    <n v="1"/>
    <s v="lunch"/>
    <x v="2"/>
    <m/>
    <x v="1"/>
    <x v="2"/>
  </r>
  <r>
    <n v="3"/>
    <n v="13"/>
    <n v="1"/>
    <s v="lunch"/>
    <x v="3"/>
    <m/>
    <x v="1"/>
    <x v="2"/>
  </r>
  <r>
    <n v="3"/>
    <n v="20"/>
    <n v="1"/>
    <s v="dinner"/>
    <x v="2"/>
    <m/>
    <x v="1"/>
    <x v="2"/>
  </r>
  <r>
    <n v="3"/>
    <n v="14"/>
    <n v="1"/>
    <s v="dinner"/>
    <x v="3"/>
    <m/>
    <x v="1"/>
    <x v="2"/>
  </r>
  <r>
    <n v="3"/>
    <n v="36"/>
    <n v="1"/>
    <s v="snack"/>
    <x v="4"/>
    <m/>
    <x v="1"/>
    <x v="2"/>
  </r>
  <r>
    <n v="3"/>
    <n v="5"/>
    <n v="1"/>
    <s v="breakfast"/>
    <x v="0"/>
    <m/>
    <x v="2"/>
    <x v="2"/>
  </r>
  <r>
    <n v="3"/>
    <n v="13"/>
    <n v="1"/>
    <s v="breakfast"/>
    <x v="1"/>
    <m/>
    <x v="2"/>
    <x v="2"/>
  </r>
  <r>
    <n v="3"/>
    <n v="29"/>
    <n v="1"/>
    <s v="lunch"/>
    <x v="2"/>
    <m/>
    <x v="2"/>
    <x v="2"/>
  </r>
  <r>
    <n v="3"/>
    <n v="14"/>
    <n v="1"/>
    <s v="lunch"/>
    <x v="3"/>
    <m/>
    <x v="2"/>
    <x v="2"/>
  </r>
  <r>
    <n v="3"/>
    <n v="21"/>
    <n v="1"/>
    <s v="dinner"/>
    <x v="2"/>
    <m/>
    <x v="2"/>
    <x v="2"/>
  </r>
  <r>
    <n v="3"/>
    <n v="15"/>
    <n v="1"/>
    <s v="dinner"/>
    <x v="3"/>
    <m/>
    <x v="2"/>
    <x v="2"/>
  </r>
  <r>
    <n v="3"/>
    <n v="37"/>
    <n v="1"/>
    <s v="snack"/>
    <x v="4"/>
    <m/>
    <x v="2"/>
    <x v="2"/>
  </r>
  <r>
    <n v="3"/>
    <n v="6"/>
    <n v="1"/>
    <s v="breakfast"/>
    <x v="0"/>
    <m/>
    <x v="3"/>
    <x v="2"/>
  </r>
  <r>
    <n v="3"/>
    <n v="14"/>
    <n v="1"/>
    <s v="breakfast"/>
    <x v="1"/>
    <m/>
    <x v="3"/>
    <x v="2"/>
  </r>
  <r>
    <n v="3"/>
    <n v="30"/>
    <n v="1"/>
    <s v="lunch"/>
    <x v="2"/>
    <m/>
    <x v="3"/>
    <x v="2"/>
  </r>
  <r>
    <n v="3"/>
    <n v="15"/>
    <n v="1"/>
    <s v="lunch"/>
    <x v="3"/>
    <m/>
    <x v="3"/>
    <x v="2"/>
  </r>
  <r>
    <n v="3"/>
    <n v="22"/>
    <n v="1"/>
    <s v="dinner"/>
    <x v="2"/>
    <m/>
    <x v="3"/>
    <x v="2"/>
  </r>
  <r>
    <n v="3"/>
    <n v="16"/>
    <n v="1"/>
    <s v="dinner"/>
    <x v="3"/>
    <m/>
    <x v="3"/>
    <x v="2"/>
  </r>
  <r>
    <n v="3"/>
    <n v="38"/>
    <n v="1"/>
    <s v="snack"/>
    <x v="4"/>
    <m/>
    <x v="3"/>
    <x v="2"/>
  </r>
  <r>
    <n v="3"/>
    <n v="7"/>
    <n v="1"/>
    <s v="breakfast"/>
    <x v="0"/>
    <m/>
    <x v="4"/>
    <x v="2"/>
  </r>
  <r>
    <n v="3"/>
    <n v="15"/>
    <n v="1"/>
    <s v="breakfast"/>
    <x v="1"/>
    <m/>
    <x v="4"/>
    <x v="2"/>
  </r>
  <r>
    <n v="3"/>
    <n v="31"/>
    <n v="1"/>
    <s v="lunch"/>
    <x v="2"/>
    <m/>
    <x v="4"/>
    <x v="2"/>
  </r>
  <r>
    <n v="3"/>
    <n v="16"/>
    <n v="1"/>
    <s v="lunch"/>
    <x v="3"/>
    <m/>
    <x v="4"/>
    <x v="2"/>
  </r>
  <r>
    <n v="3"/>
    <n v="23"/>
    <n v="1"/>
    <s v="dinner"/>
    <x v="2"/>
    <m/>
    <x v="4"/>
    <x v="2"/>
  </r>
  <r>
    <n v="3"/>
    <n v="9"/>
    <n v="1"/>
    <s v="dinner"/>
    <x v="3"/>
    <m/>
    <x v="4"/>
    <x v="2"/>
  </r>
  <r>
    <n v="3"/>
    <n v="32"/>
    <n v="1"/>
    <s v="snack"/>
    <x v="4"/>
    <m/>
    <x v="4"/>
    <x v="2"/>
  </r>
  <r>
    <n v="3"/>
    <n v="8"/>
    <n v="1"/>
    <s v="breakfast"/>
    <x v="0"/>
    <m/>
    <x v="5"/>
    <x v="2"/>
  </r>
  <r>
    <n v="3"/>
    <n v="16"/>
    <n v="1"/>
    <s v="breakfast"/>
    <x v="1"/>
    <m/>
    <x v="5"/>
    <x v="2"/>
  </r>
  <r>
    <n v="3"/>
    <n v="32"/>
    <n v="1"/>
    <s v="lunch"/>
    <x v="2"/>
    <m/>
    <x v="5"/>
    <x v="2"/>
  </r>
  <r>
    <n v="3"/>
    <n v="9"/>
    <n v="1"/>
    <s v="lunch"/>
    <x v="3"/>
    <m/>
    <x v="5"/>
    <x v="2"/>
  </r>
  <r>
    <n v="3"/>
    <n v="24"/>
    <n v="1"/>
    <s v="dinner"/>
    <x v="2"/>
    <m/>
    <x v="5"/>
    <x v="2"/>
  </r>
  <r>
    <n v="3"/>
    <n v="10"/>
    <n v="1"/>
    <s v="dinner"/>
    <x v="3"/>
    <m/>
    <x v="5"/>
    <x v="2"/>
  </r>
  <r>
    <n v="3"/>
    <n v="33"/>
    <n v="1"/>
    <s v="snack"/>
    <x v="4"/>
    <m/>
    <x v="5"/>
    <x v="2"/>
  </r>
  <r>
    <n v="3"/>
    <n v="1"/>
    <n v="1"/>
    <s v="breakfast"/>
    <x v="0"/>
    <m/>
    <x v="6"/>
    <x v="2"/>
  </r>
  <r>
    <n v="3"/>
    <n v="9"/>
    <n v="1"/>
    <s v="breakfast"/>
    <x v="1"/>
    <m/>
    <x v="6"/>
    <x v="2"/>
  </r>
  <r>
    <n v="3"/>
    <n v="25"/>
    <n v="1"/>
    <s v="lunch"/>
    <x v="2"/>
    <m/>
    <x v="6"/>
    <x v="2"/>
  </r>
  <r>
    <n v="3"/>
    <n v="10"/>
    <n v="1"/>
    <s v="lunch"/>
    <x v="3"/>
    <m/>
    <x v="6"/>
    <x v="2"/>
  </r>
  <r>
    <n v="3"/>
    <n v="17"/>
    <n v="1"/>
    <s v="dinner"/>
    <x v="2"/>
    <m/>
    <x v="6"/>
    <x v="2"/>
  </r>
  <r>
    <n v="3"/>
    <n v="11"/>
    <n v="1"/>
    <s v="dinner"/>
    <x v="3"/>
    <m/>
    <x v="6"/>
    <x v="2"/>
  </r>
  <r>
    <n v="3"/>
    <n v="34"/>
    <n v="1"/>
    <s v="snack"/>
    <x v="4"/>
    <m/>
    <x v="6"/>
    <x v="2"/>
  </r>
  <r>
    <n v="4"/>
    <n v="1"/>
    <n v="1"/>
    <s v="breakfast"/>
    <x v="0"/>
    <m/>
    <x v="0"/>
    <x v="3"/>
  </r>
  <r>
    <n v="4"/>
    <n v="9"/>
    <n v="1"/>
    <s v="breakfast"/>
    <x v="1"/>
    <m/>
    <x v="0"/>
    <x v="3"/>
  </r>
  <r>
    <n v="4"/>
    <n v="25"/>
    <n v="1"/>
    <s v="lunch"/>
    <x v="2"/>
    <m/>
    <x v="0"/>
    <x v="3"/>
  </r>
  <r>
    <n v="4"/>
    <n v="10"/>
    <n v="1"/>
    <s v="lunch"/>
    <x v="3"/>
    <m/>
    <x v="0"/>
    <x v="3"/>
  </r>
  <r>
    <n v="4"/>
    <n v="17"/>
    <n v="1"/>
    <s v="dinner"/>
    <x v="2"/>
    <m/>
    <x v="0"/>
    <x v="3"/>
  </r>
  <r>
    <n v="4"/>
    <n v="11"/>
    <n v="1"/>
    <s v="dinner"/>
    <x v="3"/>
    <m/>
    <x v="0"/>
    <x v="3"/>
  </r>
  <r>
    <n v="4"/>
    <n v="33"/>
    <n v="1"/>
    <s v="snack"/>
    <x v="4"/>
    <m/>
    <x v="0"/>
    <x v="3"/>
  </r>
  <r>
    <n v="4"/>
    <n v="2"/>
    <n v="1"/>
    <s v="breakfast"/>
    <x v="0"/>
    <m/>
    <x v="1"/>
    <x v="3"/>
  </r>
  <r>
    <n v="4"/>
    <n v="10"/>
    <n v="1"/>
    <s v="breakfast"/>
    <x v="1"/>
    <m/>
    <x v="1"/>
    <x v="3"/>
  </r>
  <r>
    <n v="4"/>
    <n v="26"/>
    <n v="1"/>
    <s v="lunch"/>
    <x v="2"/>
    <m/>
    <x v="1"/>
    <x v="3"/>
  </r>
  <r>
    <n v="4"/>
    <n v="11"/>
    <n v="1"/>
    <s v="lunch"/>
    <x v="3"/>
    <m/>
    <x v="1"/>
    <x v="3"/>
  </r>
  <r>
    <n v="4"/>
    <n v="18"/>
    <n v="1"/>
    <s v="dinner"/>
    <x v="2"/>
    <m/>
    <x v="1"/>
    <x v="3"/>
  </r>
  <r>
    <n v="4"/>
    <n v="12"/>
    <n v="1"/>
    <s v="dinner"/>
    <x v="3"/>
    <m/>
    <x v="1"/>
    <x v="3"/>
  </r>
  <r>
    <n v="4"/>
    <n v="34"/>
    <n v="1"/>
    <s v="snack"/>
    <x v="4"/>
    <m/>
    <x v="1"/>
    <x v="3"/>
  </r>
  <r>
    <n v="4"/>
    <n v="3"/>
    <n v="1"/>
    <s v="breakfast"/>
    <x v="0"/>
    <m/>
    <x v="2"/>
    <x v="3"/>
  </r>
  <r>
    <n v="4"/>
    <n v="11"/>
    <n v="1"/>
    <s v="breakfast"/>
    <x v="1"/>
    <m/>
    <x v="2"/>
    <x v="3"/>
  </r>
  <r>
    <n v="4"/>
    <n v="27"/>
    <n v="1"/>
    <s v="lunch"/>
    <x v="2"/>
    <m/>
    <x v="2"/>
    <x v="3"/>
  </r>
  <r>
    <n v="4"/>
    <n v="12"/>
    <n v="1"/>
    <s v="lunch"/>
    <x v="3"/>
    <m/>
    <x v="2"/>
    <x v="3"/>
  </r>
  <r>
    <n v="4"/>
    <n v="19"/>
    <n v="1"/>
    <s v="dinner"/>
    <x v="2"/>
    <m/>
    <x v="2"/>
    <x v="3"/>
  </r>
  <r>
    <n v="4"/>
    <n v="13"/>
    <n v="1"/>
    <s v="dinner"/>
    <x v="3"/>
    <m/>
    <x v="2"/>
    <x v="3"/>
  </r>
  <r>
    <n v="4"/>
    <n v="35"/>
    <n v="1"/>
    <s v="snack"/>
    <x v="4"/>
    <m/>
    <x v="2"/>
    <x v="3"/>
  </r>
  <r>
    <n v="4"/>
    <n v="4"/>
    <n v="1"/>
    <s v="breakfast"/>
    <x v="0"/>
    <m/>
    <x v="3"/>
    <x v="3"/>
  </r>
  <r>
    <n v="4"/>
    <n v="12"/>
    <n v="1"/>
    <s v="breakfast"/>
    <x v="1"/>
    <m/>
    <x v="3"/>
    <x v="3"/>
  </r>
  <r>
    <n v="4"/>
    <n v="28"/>
    <n v="1"/>
    <s v="lunch"/>
    <x v="2"/>
    <m/>
    <x v="3"/>
    <x v="3"/>
  </r>
  <r>
    <n v="4"/>
    <n v="13"/>
    <n v="1"/>
    <s v="lunch"/>
    <x v="3"/>
    <m/>
    <x v="3"/>
    <x v="3"/>
  </r>
  <r>
    <n v="4"/>
    <n v="20"/>
    <n v="1"/>
    <s v="dinner"/>
    <x v="2"/>
    <m/>
    <x v="3"/>
    <x v="3"/>
  </r>
  <r>
    <n v="4"/>
    <n v="14"/>
    <n v="1"/>
    <s v="dinner"/>
    <x v="3"/>
    <m/>
    <x v="3"/>
    <x v="3"/>
  </r>
  <r>
    <n v="4"/>
    <n v="36"/>
    <n v="1"/>
    <s v="snack"/>
    <x v="4"/>
    <m/>
    <x v="3"/>
    <x v="3"/>
  </r>
  <r>
    <n v="4"/>
    <n v="5"/>
    <n v="1"/>
    <s v="breakfast"/>
    <x v="0"/>
    <m/>
    <x v="4"/>
    <x v="3"/>
  </r>
  <r>
    <n v="4"/>
    <n v="13"/>
    <n v="1"/>
    <s v="breakfast"/>
    <x v="1"/>
    <m/>
    <x v="4"/>
    <x v="3"/>
  </r>
  <r>
    <n v="4"/>
    <n v="29"/>
    <n v="1"/>
    <s v="lunch"/>
    <x v="2"/>
    <m/>
    <x v="4"/>
    <x v="3"/>
  </r>
  <r>
    <n v="4"/>
    <n v="14"/>
    <n v="1"/>
    <s v="lunch"/>
    <x v="3"/>
    <m/>
    <x v="4"/>
    <x v="3"/>
  </r>
  <r>
    <n v="4"/>
    <n v="21"/>
    <n v="1"/>
    <s v="dinner"/>
    <x v="2"/>
    <m/>
    <x v="4"/>
    <x v="3"/>
  </r>
  <r>
    <n v="4"/>
    <n v="15"/>
    <n v="1"/>
    <s v="dinner"/>
    <x v="3"/>
    <m/>
    <x v="4"/>
    <x v="3"/>
  </r>
  <r>
    <n v="4"/>
    <n v="37"/>
    <n v="1"/>
    <s v="snack"/>
    <x v="4"/>
    <m/>
    <x v="4"/>
    <x v="3"/>
  </r>
  <r>
    <n v="4"/>
    <n v="6"/>
    <n v="1"/>
    <s v="breakfast"/>
    <x v="0"/>
    <m/>
    <x v="5"/>
    <x v="3"/>
  </r>
  <r>
    <n v="4"/>
    <n v="14"/>
    <n v="1"/>
    <s v="breakfast"/>
    <x v="1"/>
    <m/>
    <x v="5"/>
    <x v="3"/>
  </r>
  <r>
    <n v="4"/>
    <n v="30"/>
    <n v="1"/>
    <s v="lunch"/>
    <x v="2"/>
    <m/>
    <x v="5"/>
    <x v="3"/>
  </r>
  <r>
    <n v="4"/>
    <n v="15"/>
    <n v="1"/>
    <s v="lunch"/>
    <x v="3"/>
    <m/>
    <x v="5"/>
    <x v="3"/>
  </r>
  <r>
    <n v="4"/>
    <n v="22"/>
    <n v="1"/>
    <s v="dinner"/>
    <x v="2"/>
    <m/>
    <x v="5"/>
    <x v="3"/>
  </r>
  <r>
    <n v="4"/>
    <n v="16"/>
    <n v="1"/>
    <s v="dinner"/>
    <x v="3"/>
    <m/>
    <x v="5"/>
    <x v="3"/>
  </r>
  <r>
    <n v="4"/>
    <n v="38"/>
    <n v="1"/>
    <s v="snack"/>
    <x v="4"/>
    <m/>
    <x v="5"/>
    <x v="3"/>
  </r>
  <r>
    <n v="4"/>
    <n v="7"/>
    <n v="1"/>
    <s v="breakfast"/>
    <x v="0"/>
    <m/>
    <x v="6"/>
    <x v="3"/>
  </r>
  <r>
    <n v="4"/>
    <n v="15"/>
    <n v="1"/>
    <s v="breakfast"/>
    <x v="1"/>
    <m/>
    <x v="6"/>
    <x v="3"/>
  </r>
  <r>
    <n v="4"/>
    <n v="31"/>
    <n v="1"/>
    <s v="lunch"/>
    <x v="2"/>
    <m/>
    <x v="6"/>
    <x v="3"/>
  </r>
  <r>
    <n v="4"/>
    <n v="16"/>
    <n v="1"/>
    <s v="lunch"/>
    <x v="3"/>
    <m/>
    <x v="6"/>
    <x v="3"/>
  </r>
  <r>
    <n v="4"/>
    <n v="23"/>
    <n v="1"/>
    <s v="dinner"/>
    <x v="2"/>
    <m/>
    <x v="6"/>
    <x v="3"/>
  </r>
  <r>
    <n v="4"/>
    <n v="9"/>
    <n v="1"/>
    <s v="dinner"/>
    <x v="3"/>
    <m/>
    <x v="6"/>
    <x v="3"/>
  </r>
  <r>
    <n v="4"/>
    <n v="32"/>
    <n v="1"/>
    <s v="snack"/>
    <x v="4"/>
    <m/>
    <x v="6"/>
    <x v="3"/>
  </r>
  <r>
    <n v="5"/>
    <n v="1"/>
    <n v="1"/>
    <s v="breakfast"/>
    <x v="0"/>
    <m/>
    <x v="0"/>
    <x v="4"/>
  </r>
  <r>
    <n v="5"/>
    <n v="9"/>
    <n v="1"/>
    <s v="breakfast"/>
    <x v="1"/>
    <m/>
    <x v="0"/>
    <x v="4"/>
  </r>
  <r>
    <n v="5"/>
    <n v="25"/>
    <n v="1"/>
    <s v="lunch"/>
    <x v="2"/>
    <m/>
    <x v="0"/>
    <x v="4"/>
  </r>
  <r>
    <n v="5"/>
    <n v="10"/>
    <n v="1"/>
    <s v="lunch"/>
    <x v="3"/>
    <m/>
    <x v="0"/>
    <x v="4"/>
  </r>
  <r>
    <n v="5"/>
    <n v="17"/>
    <n v="1"/>
    <s v="dinner"/>
    <x v="2"/>
    <m/>
    <x v="0"/>
    <x v="4"/>
  </r>
  <r>
    <n v="5"/>
    <n v="11"/>
    <n v="1"/>
    <s v="dinner"/>
    <x v="3"/>
    <m/>
    <x v="0"/>
    <x v="4"/>
  </r>
  <r>
    <n v="5"/>
    <n v="33"/>
    <n v="1"/>
    <s v="snack"/>
    <x v="4"/>
    <m/>
    <x v="0"/>
    <x v="4"/>
  </r>
  <r>
    <n v="5"/>
    <n v="2"/>
    <n v="1"/>
    <s v="breakfast"/>
    <x v="0"/>
    <m/>
    <x v="1"/>
    <x v="4"/>
  </r>
  <r>
    <n v="5"/>
    <n v="10"/>
    <n v="1"/>
    <s v="breakfast"/>
    <x v="1"/>
    <m/>
    <x v="1"/>
    <x v="4"/>
  </r>
  <r>
    <n v="5"/>
    <n v="26"/>
    <n v="1"/>
    <s v="lunch"/>
    <x v="2"/>
    <m/>
    <x v="1"/>
    <x v="4"/>
  </r>
  <r>
    <n v="5"/>
    <n v="11"/>
    <n v="1"/>
    <s v="lunch"/>
    <x v="3"/>
    <m/>
    <x v="1"/>
    <x v="4"/>
  </r>
  <r>
    <n v="5"/>
    <n v="18"/>
    <n v="1"/>
    <s v="dinner"/>
    <x v="2"/>
    <m/>
    <x v="1"/>
    <x v="4"/>
  </r>
  <r>
    <n v="5"/>
    <n v="12"/>
    <n v="1"/>
    <s v="dinner"/>
    <x v="3"/>
    <m/>
    <x v="1"/>
    <x v="4"/>
  </r>
  <r>
    <n v="5"/>
    <n v="34"/>
    <n v="1"/>
    <s v="snack"/>
    <x v="4"/>
    <m/>
    <x v="1"/>
    <x v="4"/>
  </r>
  <r>
    <n v="5"/>
    <n v="3"/>
    <n v="1"/>
    <s v="breakfast"/>
    <x v="0"/>
    <m/>
    <x v="2"/>
    <x v="4"/>
  </r>
  <r>
    <n v="5"/>
    <n v="11"/>
    <n v="1"/>
    <s v="breakfast"/>
    <x v="1"/>
    <m/>
    <x v="2"/>
    <x v="4"/>
  </r>
  <r>
    <n v="5"/>
    <n v="27"/>
    <n v="1"/>
    <s v="lunch"/>
    <x v="2"/>
    <m/>
    <x v="2"/>
    <x v="4"/>
  </r>
  <r>
    <n v="5"/>
    <n v="12"/>
    <n v="1"/>
    <s v="lunch"/>
    <x v="3"/>
    <m/>
    <x v="2"/>
    <x v="4"/>
  </r>
  <r>
    <n v="5"/>
    <n v="19"/>
    <n v="1"/>
    <s v="dinner"/>
    <x v="2"/>
    <m/>
    <x v="2"/>
    <x v="4"/>
  </r>
  <r>
    <n v="5"/>
    <n v="13"/>
    <n v="1"/>
    <s v="dinner"/>
    <x v="3"/>
    <m/>
    <x v="2"/>
    <x v="4"/>
  </r>
  <r>
    <n v="5"/>
    <n v="35"/>
    <n v="1"/>
    <s v="snack"/>
    <x v="4"/>
    <m/>
    <x v="2"/>
    <x v="4"/>
  </r>
  <r>
    <n v="5"/>
    <n v="4"/>
    <n v="1"/>
    <s v="breakfast"/>
    <x v="0"/>
    <m/>
    <x v="3"/>
    <x v="4"/>
  </r>
  <r>
    <n v="5"/>
    <n v="12"/>
    <n v="1"/>
    <s v="breakfast"/>
    <x v="1"/>
    <m/>
    <x v="3"/>
    <x v="4"/>
  </r>
  <r>
    <n v="5"/>
    <n v="28"/>
    <n v="1"/>
    <s v="lunch"/>
    <x v="2"/>
    <m/>
    <x v="3"/>
    <x v="4"/>
  </r>
  <r>
    <n v="5"/>
    <n v="13"/>
    <n v="1"/>
    <s v="lunch"/>
    <x v="3"/>
    <m/>
    <x v="3"/>
    <x v="4"/>
  </r>
  <r>
    <n v="5"/>
    <n v="20"/>
    <n v="1"/>
    <s v="dinner"/>
    <x v="2"/>
    <m/>
    <x v="3"/>
    <x v="4"/>
  </r>
  <r>
    <n v="5"/>
    <n v="14"/>
    <n v="1"/>
    <s v="dinner"/>
    <x v="3"/>
    <m/>
    <x v="3"/>
    <x v="4"/>
  </r>
  <r>
    <n v="5"/>
    <n v="36"/>
    <n v="1"/>
    <s v="snack"/>
    <x v="4"/>
    <m/>
    <x v="3"/>
    <x v="4"/>
  </r>
  <r>
    <n v="5"/>
    <n v="5"/>
    <n v="1"/>
    <s v="breakfast"/>
    <x v="0"/>
    <m/>
    <x v="4"/>
    <x v="4"/>
  </r>
  <r>
    <n v="5"/>
    <n v="13"/>
    <n v="1"/>
    <s v="breakfast"/>
    <x v="1"/>
    <m/>
    <x v="4"/>
    <x v="4"/>
  </r>
  <r>
    <n v="5"/>
    <n v="29"/>
    <n v="1"/>
    <s v="lunch"/>
    <x v="2"/>
    <m/>
    <x v="4"/>
    <x v="4"/>
  </r>
  <r>
    <n v="5"/>
    <n v="14"/>
    <n v="1"/>
    <s v="lunch"/>
    <x v="3"/>
    <m/>
    <x v="4"/>
    <x v="4"/>
  </r>
  <r>
    <n v="5"/>
    <n v="21"/>
    <n v="1"/>
    <s v="dinner"/>
    <x v="2"/>
    <m/>
    <x v="4"/>
    <x v="4"/>
  </r>
  <r>
    <n v="5"/>
    <n v="15"/>
    <n v="1"/>
    <s v="dinner"/>
    <x v="3"/>
    <m/>
    <x v="4"/>
    <x v="4"/>
  </r>
  <r>
    <n v="5"/>
    <n v="37"/>
    <n v="1"/>
    <s v="snack"/>
    <x v="4"/>
    <m/>
    <x v="4"/>
    <x v="4"/>
  </r>
  <r>
    <n v="5"/>
    <n v="6"/>
    <n v="1"/>
    <s v="breakfast"/>
    <x v="0"/>
    <m/>
    <x v="5"/>
    <x v="4"/>
  </r>
  <r>
    <n v="5"/>
    <n v="14"/>
    <n v="1"/>
    <s v="breakfast"/>
    <x v="1"/>
    <m/>
    <x v="5"/>
    <x v="4"/>
  </r>
  <r>
    <n v="5"/>
    <n v="30"/>
    <n v="1"/>
    <s v="lunch"/>
    <x v="2"/>
    <m/>
    <x v="5"/>
    <x v="4"/>
  </r>
  <r>
    <n v="5"/>
    <n v="15"/>
    <n v="1"/>
    <s v="lunch"/>
    <x v="3"/>
    <m/>
    <x v="5"/>
    <x v="4"/>
  </r>
  <r>
    <n v="5"/>
    <n v="22"/>
    <n v="1"/>
    <s v="dinner"/>
    <x v="2"/>
    <m/>
    <x v="5"/>
    <x v="4"/>
  </r>
  <r>
    <n v="5"/>
    <n v="16"/>
    <n v="1"/>
    <s v="dinner"/>
    <x v="3"/>
    <m/>
    <x v="5"/>
    <x v="4"/>
  </r>
  <r>
    <n v="5"/>
    <n v="38"/>
    <n v="1"/>
    <s v="snack"/>
    <x v="4"/>
    <m/>
    <x v="5"/>
    <x v="4"/>
  </r>
  <r>
    <n v="5"/>
    <n v="7"/>
    <n v="1"/>
    <s v="breakfast"/>
    <x v="0"/>
    <m/>
    <x v="6"/>
    <x v="4"/>
  </r>
  <r>
    <n v="5"/>
    <n v="15"/>
    <n v="1"/>
    <s v="breakfast"/>
    <x v="1"/>
    <m/>
    <x v="6"/>
    <x v="4"/>
  </r>
  <r>
    <n v="5"/>
    <n v="31"/>
    <n v="1"/>
    <s v="lunch"/>
    <x v="2"/>
    <m/>
    <x v="6"/>
    <x v="4"/>
  </r>
  <r>
    <n v="5"/>
    <n v="16"/>
    <n v="1"/>
    <s v="lunch"/>
    <x v="3"/>
    <m/>
    <x v="6"/>
    <x v="4"/>
  </r>
  <r>
    <n v="5"/>
    <n v="23"/>
    <n v="1"/>
    <s v="dinner"/>
    <x v="2"/>
    <m/>
    <x v="6"/>
    <x v="4"/>
  </r>
  <r>
    <n v="5"/>
    <n v="9"/>
    <n v="1"/>
    <s v="dinner"/>
    <x v="3"/>
    <m/>
    <x v="6"/>
    <x v="4"/>
  </r>
  <r>
    <n v="5"/>
    <n v="32"/>
    <n v="1"/>
    <s v="snack"/>
    <x v="4"/>
    <m/>
    <x v="6"/>
    <x v="4"/>
  </r>
  <r>
    <n v="6"/>
    <n v="1"/>
    <n v="1"/>
    <s v="breakfast"/>
    <x v="0"/>
    <m/>
    <x v="0"/>
    <x v="5"/>
  </r>
  <r>
    <n v="6"/>
    <n v="9"/>
    <n v="1"/>
    <s v="breakfast"/>
    <x v="1"/>
    <m/>
    <x v="0"/>
    <x v="5"/>
  </r>
  <r>
    <n v="6"/>
    <n v="25"/>
    <n v="1"/>
    <s v="lunch"/>
    <x v="2"/>
    <m/>
    <x v="0"/>
    <x v="5"/>
  </r>
  <r>
    <n v="6"/>
    <n v="10"/>
    <n v="1"/>
    <s v="lunch"/>
    <x v="3"/>
    <m/>
    <x v="0"/>
    <x v="5"/>
  </r>
  <r>
    <n v="6"/>
    <n v="17"/>
    <n v="1"/>
    <s v="dinner"/>
    <x v="2"/>
    <m/>
    <x v="0"/>
    <x v="5"/>
  </r>
  <r>
    <n v="6"/>
    <n v="11"/>
    <n v="1"/>
    <s v="dinner"/>
    <x v="3"/>
    <m/>
    <x v="0"/>
    <x v="5"/>
  </r>
  <r>
    <n v="6"/>
    <n v="33"/>
    <n v="1"/>
    <s v="snack"/>
    <x v="4"/>
    <m/>
    <x v="0"/>
    <x v="5"/>
  </r>
  <r>
    <n v="6"/>
    <n v="2"/>
    <n v="1"/>
    <s v="breakfast"/>
    <x v="0"/>
    <m/>
    <x v="1"/>
    <x v="5"/>
  </r>
  <r>
    <n v="6"/>
    <n v="10"/>
    <n v="1"/>
    <s v="breakfast"/>
    <x v="1"/>
    <m/>
    <x v="1"/>
    <x v="5"/>
  </r>
  <r>
    <n v="6"/>
    <n v="26"/>
    <n v="1"/>
    <s v="lunch"/>
    <x v="2"/>
    <m/>
    <x v="1"/>
    <x v="5"/>
  </r>
  <r>
    <n v="6"/>
    <n v="11"/>
    <n v="1"/>
    <s v="lunch"/>
    <x v="3"/>
    <m/>
    <x v="1"/>
    <x v="5"/>
  </r>
  <r>
    <n v="6"/>
    <n v="18"/>
    <n v="1"/>
    <s v="dinner"/>
    <x v="2"/>
    <m/>
    <x v="1"/>
    <x v="5"/>
  </r>
  <r>
    <n v="6"/>
    <n v="12"/>
    <n v="1"/>
    <s v="dinner"/>
    <x v="3"/>
    <m/>
    <x v="1"/>
    <x v="5"/>
  </r>
  <r>
    <n v="6"/>
    <n v="34"/>
    <n v="1"/>
    <s v="snack"/>
    <x v="4"/>
    <m/>
    <x v="1"/>
    <x v="5"/>
  </r>
  <r>
    <n v="6"/>
    <n v="3"/>
    <n v="1"/>
    <s v="breakfast"/>
    <x v="0"/>
    <m/>
    <x v="2"/>
    <x v="5"/>
  </r>
  <r>
    <n v="6"/>
    <n v="11"/>
    <n v="1"/>
    <s v="breakfast"/>
    <x v="1"/>
    <m/>
    <x v="2"/>
    <x v="5"/>
  </r>
  <r>
    <n v="6"/>
    <n v="27"/>
    <n v="1"/>
    <s v="lunch"/>
    <x v="2"/>
    <m/>
    <x v="2"/>
    <x v="5"/>
  </r>
  <r>
    <n v="6"/>
    <n v="12"/>
    <n v="1"/>
    <s v="lunch"/>
    <x v="3"/>
    <m/>
    <x v="2"/>
    <x v="5"/>
  </r>
  <r>
    <n v="6"/>
    <n v="19"/>
    <n v="1"/>
    <s v="dinner"/>
    <x v="2"/>
    <m/>
    <x v="2"/>
    <x v="5"/>
  </r>
  <r>
    <n v="6"/>
    <n v="13"/>
    <n v="1"/>
    <s v="dinner"/>
    <x v="3"/>
    <m/>
    <x v="2"/>
    <x v="5"/>
  </r>
  <r>
    <n v="6"/>
    <n v="35"/>
    <n v="1"/>
    <s v="snack"/>
    <x v="4"/>
    <m/>
    <x v="2"/>
    <x v="5"/>
  </r>
  <r>
    <n v="6"/>
    <n v="4"/>
    <n v="1"/>
    <s v="breakfast"/>
    <x v="0"/>
    <m/>
    <x v="3"/>
    <x v="5"/>
  </r>
  <r>
    <n v="6"/>
    <n v="12"/>
    <n v="1"/>
    <s v="breakfast"/>
    <x v="1"/>
    <m/>
    <x v="3"/>
    <x v="5"/>
  </r>
  <r>
    <n v="6"/>
    <n v="28"/>
    <n v="1"/>
    <s v="lunch"/>
    <x v="2"/>
    <m/>
    <x v="3"/>
    <x v="5"/>
  </r>
  <r>
    <n v="6"/>
    <n v="13"/>
    <n v="1"/>
    <s v="lunch"/>
    <x v="3"/>
    <m/>
    <x v="3"/>
    <x v="5"/>
  </r>
  <r>
    <n v="6"/>
    <n v="20"/>
    <n v="1"/>
    <s v="dinner"/>
    <x v="2"/>
    <m/>
    <x v="3"/>
    <x v="5"/>
  </r>
  <r>
    <n v="6"/>
    <n v="14"/>
    <n v="1"/>
    <s v="dinner"/>
    <x v="3"/>
    <m/>
    <x v="3"/>
    <x v="5"/>
  </r>
  <r>
    <n v="6"/>
    <n v="36"/>
    <n v="1"/>
    <s v="snack"/>
    <x v="4"/>
    <m/>
    <x v="3"/>
    <x v="5"/>
  </r>
  <r>
    <n v="6"/>
    <n v="5"/>
    <n v="1"/>
    <s v="breakfast"/>
    <x v="0"/>
    <m/>
    <x v="4"/>
    <x v="5"/>
  </r>
  <r>
    <n v="6"/>
    <n v="13"/>
    <n v="1"/>
    <s v="breakfast"/>
    <x v="1"/>
    <m/>
    <x v="4"/>
    <x v="5"/>
  </r>
  <r>
    <n v="6"/>
    <n v="29"/>
    <n v="1"/>
    <s v="lunch"/>
    <x v="2"/>
    <m/>
    <x v="4"/>
    <x v="5"/>
  </r>
  <r>
    <n v="6"/>
    <n v="14"/>
    <n v="1"/>
    <s v="lunch"/>
    <x v="3"/>
    <m/>
    <x v="4"/>
    <x v="5"/>
  </r>
  <r>
    <n v="6"/>
    <n v="21"/>
    <n v="1"/>
    <s v="dinner"/>
    <x v="2"/>
    <m/>
    <x v="4"/>
    <x v="5"/>
  </r>
  <r>
    <n v="6"/>
    <n v="15"/>
    <n v="1"/>
    <s v="dinner"/>
    <x v="3"/>
    <m/>
    <x v="4"/>
    <x v="5"/>
  </r>
  <r>
    <n v="6"/>
    <n v="37"/>
    <n v="1"/>
    <s v="snack"/>
    <x v="4"/>
    <m/>
    <x v="4"/>
    <x v="5"/>
  </r>
  <r>
    <n v="6"/>
    <n v="6"/>
    <n v="1"/>
    <s v="breakfast"/>
    <x v="0"/>
    <m/>
    <x v="5"/>
    <x v="5"/>
  </r>
  <r>
    <n v="6"/>
    <n v="14"/>
    <n v="1"/>
    <s v="breakfast"/>
    <x v="1"/>
    <m/>
    <x v="5"/>
    <x v="5"/>
  </r>
  <r>
    <n v="6"/>
    <n v="30"/>
    <n v="1"/>
    <s v="lunch"/>
    <x v="2"/>
    <m/>
    <x v="5"/>
    <x v="5"/>
  </r>
  <r>
    <n v="6"/>
    <n v="15"/>
    <n v="1"/>
    <s v="lunch"/>
    <x v="3"/>
    <m/>
    <x v="5"/>
    <x v="5"/>
  </r>
  <r>
    <n v="6"/>
    <n v="22"/>
    <n v="1"/>
    <s v="dinner"/>
    <x v="2"/>
    <m/>
    <x v="5"/>
    <x v="5"/>
  </r>
  <r>
    <n v="6"/>
    <n v="16"/>
    <n v="1"/>
    <s v="dinner"/>
    <x v="3"/>
    <m/>
    <x v="5"/>
    <x v="5"/>
  </r>
  <r>
    <n v="6"/>
    <n v="38"/>
    <n v="1"/>
    <s v="snack"/>
    <x v="4"/>
    <m/>
    <x v="5"/>
    <x v="5"/>
  </r>
  <r>
    <n v="6"/>
    <n v="7"/>
    <n v="1"/>
    <s v="breakfast"/>
    <x v="0"/>
    <m/>
    <x v="6"/>
    <x v="5"/>
  </r>
  <r>
    <n v="6"/>
    <n v="15"/>
    <n v="1"/>
    <s v="breakfast"/>
    <x v="1"/>
    <m/>
    <x v="6"/>
    <x v="5"/>
  </r>
  <r>
    <n v="6"/>
    <n v="31"/>
    <n v="1"/>
    <s v="lunch"/>
    <x v="2"/>
    <m/>
    <x v="6"/>
    <x v="5"/>
  </r>
  <r>
    <n v="6"/>
    <n v="16"/>
    <n v="1"/>
    <s v="lunch"/>
    <x v="3"/>
    <m/>
    <x v="6"/>
    <x v="5"/>
  </r>
  <r>
    <n v="6"/>
    <n v="23"/>
    <n v="1"/>
    <s v="dinner"/>
    <x v="2"/>
    <m/>
    <x v="6"/>
    <x v="5"/>
  </r>
  <r>
    <n v="6"/>
    <n v="9"/>
    <n v="1"/>
    <s v="dinner"/>
    <x v="3"/>
    <m/>
    <x v="6"/>
    <x v="5"/>
  </r>
  <r>
    <n v="6"/>
    <n v="32"/>
    <n v="1"/>
    <s v="snack"/>
    <x v="4"/>
    <m/>
    <x v="6"/>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268BBA-09BD-8340-A0BD-E7FA8A946C37}" name="PivotTable1"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K1:Q44" firstHeaderRow="1" firstDataRow="2" firstDataCol="2"/>
  <pivotFields count="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5">
        <item x="4"/>
        <item x="0"/>
        <item x="1"/>
        <item x="2"/>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numFmtId="164"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s>
  <rowFields count="2">
    <field x="7"/>
    <field x="6"/>
  </rowFields>
  <rowItems count="42">
    <i>
      <x/>
      <x/>
    </i>
    <i r="1">
      <x v="1"/>
    </i>
    <i r="1">
      <x v="2"/>
    </i>
    <i r="1">
      <x v="3"/>
    </i>
    <i r="1">
      <x v="4"/>
    </i>
    <i r="1">
      <x v="5"/>
    </i>
    <i r="1">
      <x v="6"/>
    </i>
    <i>
      <x v="1"/>
      <x/>
    </i>
    <i r="1">
      <x v="1"/>
    </i>
    <i r="1">
      <x v="2"/>
    </i>
    <i r="1">
      <x v="3"/>
    </i>
    <i r="1">
      <x v="4"/>
    </i>
    <i r="1">
      <x v="5"/>
    </i>
    <i r="1">
      <x v="6"/>
    </i>
    <i>
      <x v="2"/>
      <x/>
    </i>
    <i r="1">
      <x v="1"/>
    </i>
    <i r="1">
      <x v="2"/>
    </i>
    <i r="1">
      <x v="3"/>
    </i>
    <i r="1">
      <x v="4"/>
    </i>
    <i r="1">
      <x v="5"/>
    </i>
    <i r="1">
      <x v="6"/>
    </i>
    <i>
      <x v="3"/>
      <x/>
    </i>
    <i r="1">
      <x v="1"/>
    </i>
    <i r="1">
      <x v="2"/>
    </i>
    <i r="1">
      <x v="3"/>
    </i>
    <i r="1">
      <x v="4"/>
    </i>
    <i r="1">
      <x v="5"/>
    </i>
    <i r="1">
      <x v="6"/>
    </i>
    <i>
      <x v="4"/>
      <x/>
    </i>
    <i r="1">
      <x v="1"/>
    </i>
    <i r="1">
      <x v="2"/>
    </i>
    <i r="1">
      <x v="3"/>
    </i>
    <i r="1">
      <x v="4"/>
    </i>
    <i r="1">
      <x v="5"/>
    </i>
    <i r="1">
      <x v="6"/>
    </i>
    <i>
      <x v="5"/>
      <x/>
    </i>
    <i r="1">
      <x v="1"/>
    </i>
    <i r="1">
      <x v="2"/>
    </i>
    <i r="1">
      <x v="3"/>
    </i>
    <i r="1">
      <x v="4"/>
    </i>
    <i r="1">
      <x v="5"/>
    </i>
    <i r="1">
      <x v="6"/>
    </i>
  </rowItems>
  <colFields count="1">
    <field x="4"/>
  </colFields>
  <colItems count="5">
    <i>
      <x/>
    </i>
    <i>
      <x v="1"/>
    </i>
    <i>
      <x v="2"/>
    </i>
    <i>
      <x v="3"/>
    </i>
    <i>
      <x v="4"/>
    </i>
  </colItems>
  <dataFields count="1">
    <dataField name="Sum of am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C7904-894B-7242-8C95-E6FBD5185F21}">
  <dimension ref="A1:A56"/>
  <sheetViews>
    <sheetView workbookViewId="0">
      <selection activeCell="A8" sqref="A8"/>
    </sheetView>
  </sheetViews>
  <sheetFormatPr baseColWidth="10" defaultRowHeight="15" x14ac:dyDescent="0.2"/>
  <cols>
    <col min="1" max="1" width="26.83203125" customWidth="1"/>
  </cols>
  <sheetData>
    <row r="1" spans="1:1" ht="16" x14ac:dyDescent="0.2">
      <c r="A1" s="4" t="s">
        <v>127</v>
      </c>
    </row>
    <row r="2" spans="1:1" ht="16" x14ac:dyDescent="0.2">
      <c r="A2" s="5" t="s">
        <v>128</v>
      </c>
    </row>
    <row r="3" spans="1:1" ht="16" x14ac:dyDescent="0.2">
      <c r="A3" s="5" t="s">
        <v>129</v>
      </c>
    </row>
    <row r="4" spans="1:1" ht="16" x14ac:dyDescent="0.2">
      <c r="A4" s="5" t="s">
        <v>130</v>
      </c>
    </row>
    <row r="5" spans="1:1" ht="16" x14ac:dyDescent="0.2">
      <c r="A5" s="5" t="s">
        <v>131</v>
      </c>
    </row>
    <row r="6" spans="1:1" ht="16" x14ac:dyDescent="0.2">
      <c r="A6" s="5" t="s">
        <v>132</v>
      </c>
    </row>
    <row r="7" spans="1:1" ht="16" x14ac:dyDescent="0.2">
      <c r="A7" s="5" t="s">
        <v>133</v>
      </c>
    </row>
    <row r="8" spans="1:1" x14ac:dyDescent="0.2">
      <c r="A8" s="6" t="s">
        <v>134</v>
      </c>
    </row>
    <row r="9" spans="1:1" ht="16" x14ac:dyDescent="0.2">
      <c r="A9" s="4" t="s">
        <v>135</v>
      </c>
    </row>
    <row r="10" spans="1:1" ht="16" x14ac:dyDescent="0.2">
      <c r="A10" s="5" t="s">
        <v>136</v>
      </c>
    </row>
    <row r="11" spans="1:1" ht="16" x14ac:dyDescent="0.2">
      <c r="A11" s="5" t="s">
        <v>137</v>
      </c>
    </row>
    <row r="12" spans="1:1" ht="16" x14ac:dyDescent="0.2">
      <c r="A12" s="5" t="s">
        <v>138</v>
      </c>
    </row>
    <row r="13" spans="1:1" ht="16" x14ac:dyDescent="0.2">
      <c r="A13" s="5" t="s">
        <v>139</v>
      </c>
    </row>
    <row r="14" spans="1:1" ht="16" x14ac:dyDescent="0.2">
      <c r="A14" s="5" t="s">
        <v>140</v>
      </c>
    </row>
    <row r="15" spans="1:1" ht="16" x14ac:dyDescent="0.2">
      <c r="A15" s="5" t="s">
        <v>141</v>
      </c>
    </row>
    <row r="16" spans="1:1" x14ac:dyDescent="0.2">
      <c r="A16" s="6" t="s">
        <v>142</v>
      </c>
    </row>
    <row r="17" spans="1:1" x14ac:dyDescent="0.2">
      <c r="A17" s="6"/>
    </row>
    <row r="18" spans="1:1" ht="16" x14ac:dyDescent="0.2">
      <c r="A18" s="4" t="s">
        <v>143</v>
      </c>
    </row>
    <row r="19" spans="1:1" ht="16" x14ac:dyDescent="0.2">
      <c r="A19" s="5" t="s">
        <v>144</v>
      </c>
    </row>
    <row r="20" spans="1:1" ht="16" x14ac:dyDescent="0.2">
      <c r="A20" s="5" t="s">
        <v>129</v>
      </c>
    </row>
    <row r="21" spans="1:1" ht="16" x14ac:dyDescent="0.2">
      <c r="A21" s="5" t="s">
        <v>138</v>
      </c>
    </row>
    <row r="22" spans="1:1" ht="16" x14ac:dyDescent="0.2">
      <c r="A22" s="5" t="s">
        <v>145</v>
      </c>
    </row>
    <row r="23" spans="1:1" ht="16" x14ac:dyDescent="0.2">
      <c r="A23" s="5" t="s">
        <v>132</v>
      </c>
    </row>
    <row r="24" spans="1:1" ht="16" x14ac:dyDescent="0.2">
      <c r="A24" s="5" t="s">
        <v>133</v>
      </c>
    </row>
    <row r="25" spans="1:1" x14ac:dyDescent="0.2">
      <c r="A25" s="6" t="s">
        <v>146</v>
      </c>
    </row>
    <row r="26" spans="1:1" ht="16" x14ac:dyDescent="0.2">
      <c r="A26" s="4" t="s">
        <v>147</v>
      </c>
    </row>
    <row r="27" spans="1:1" ht="16" x14ac:dyDescent="0.2">
      <c r="A27" s="5" t="s">
        <v>136</v>
      </c>
    </row>
    <row r="28" spans="1:1" ht="16" x14ac:dyDescent="0.2">
      <c r="A28" s="5" t="s">
        <v>129</v>
      </c>
    </row>
    <row r="29" spans="1:1" ht="16" x14ac:dyDescent="0.2">
      <c r="A29" s="5" t="s">
        <v>130</v>
      </c>
    </row>
    <row r="30" spans="1:1" ht="16" x14ac:dyDescent="0.2">
      <c r="A30" s="5" t="s">
        <v>131</v>
      </c>
    </row>
    <row r="31" spans="1:1" ht="16" x14ac:dyDescent="0.2">
      <c r="A31" s="5" t="s">
        <v>132</v>
      </c>
    </row>
    <row r="32" spans="1:1" ht="16" x14ac:dyDescent="0.2">
      <c r="A32" s="5" t="s">
        <v>133</v>
      </c>
    </row>
    <row r="33" spans="1:1" x14ac:dyDescent="0.2">
      <c r="A33" s="6" t="s">
        <v>148</v>
      </c>
    </row>
    <row r="34" spans="1:1" ht="16" x14ac:dyDescent="0.2">
      <c r="A34" s="4" t="s">
        <v>149</v>
      </c>
    </row>
    <row r="35" spans="1:1" ht="16" x14ac:dyDescent="0.2">
      <c r="A35" s="5" t="s">
        <v>128</v>
      </c>
    </row>
    <row r="36" spans="1:1" ht="16" x14ac:dyDescent="0.2">
      <c r="A36" s="5" t="s">
        <v>150</v>
      </c>
    </row>
    <row r="37" spans="1:1" ht="16" x14ac:dyDescent="0.2">
      <c r="A37" s="5" t="s">
        <v>138</v>
      </c>
    </row>
    <row r="38" spans="1:1" ht="16" x14ac:dyDescent="0.2">
      <c r="A38" s="5" t="s">
        <v>145</v>
      </c>
    </row>
    <row r="39" spans="1:1" ht="16" x14ac:dyDescent="0.2">
      <c r="A39" s="5" t="s">
        <v>140</v>
      </c>
    </row>
    <row r="40" spans="1:1" ht="16" x14ac:dyDescent="0.2">
      <c r="A40" s="5" t="s">
        <v>151</v>
      </c>
    </row>
    <row r="41" spans="1:1" x14ac:dyDescent="0.2">
      <c r="A41" s="6" t="s">
        <v>152</v>
      </c>
    </row>
    <row r="42" spans="1:1" ht="16" x14ac:dyDescent="0.2">
      <c r="A42" s="4" t="s">
        <v>153</v>
      </c>
    </row>
    <row r="43" spans="1:1" ht="16" x14ac:dyDescent="0.2">
      <c r="A43" s="5" t="s">
        <v>136</v>
      </c>
    </row>
    <row r="44" spans="1:1" ht="16" x14ac:dyDescent="0.2">
      <c r="A44" s="5" t="s">
        <v>129</v>
      </c>
    </row>
    <row r="45" spans="1:1" ht="16" x14ac:dyDescent="0.2">
      <c r="A45" s="5" t="s">
        <v>138</v>
      </c>
    </row>
    <row r="46" spans="1:1" ht="16" x14ac:dyDescent="0.2">
      <c r="A46" s="5" t="s">
        <v>131</v>
      </c>
    </row>
    <row r="47" spans="1:1" ht="16" x14ac:dyDescent="0.2">
      <c r="A47" s="5" t="s">
        <v>132</v>
      </c>
    </row>
    <row r="48" spans="1:1" ht="16" x14ac:dyDescent="0.2">
      <c r="A48" s="5" t="s">
        <v>133</v>
      </c>
    </row>
    <row r="49" spans="1:1" x14ac:dyDescent="0.2">
      <c r="A49" s="6" t="s">
        <v>154</v>
      </c>
    </row>
    <row r="50" spans="1:1" ht="16" x14ac:dyDescent="0.2">
      <c r="A50" s="5" t="s">
        <v>155</v>
      </c>
    </row>
    <row r="51" spans="1:1" ht="16" x14ac:dyDescent="0.2">
      <c r="A51" s="5" t="s">
        <v>156</v>
      </c>
    </row>
    <row r="52" spans="1:1" ht="16" x14ac:dyDescent="0.2">
      <c r="A52" s="5" t="s">
        <v>157</v>
      </c>
    </row>
    <row r="53" spans="1:1" ht="16" x14ac:dyDescent="0.2">
      <c r="A53" s="5" t="s">
        <v>158</v>
      </c>
    </row>
    <row r="54" spans="1:1" ht="16" x14ac:dyDescent="0.2">
      <c r="A54" s="5" t="s">
        <v>159</v>
      </c>
    </row>
    <row r="55" spans="1:1" ht="16" x14ac:dyDescent="0.2">
      <c r="A55" s="5" t="s">
        <v>160</v>
      </c>
    </row>
    <row r="56" spans="1:1" ht="16" x14ac:dyDescent="0.2">
      <c r="A56"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
  <sheetViews>
    <sheetView workbookViewId="0">
      <selection activeCell="L1" sqref="L1:M7"/>
    </sheetView>
  </sheetViews>
  <sheetFormatPr baseColWidth="10" defaultColWidth="8.83203125" defaultRowHeight="15" x14ac:dyDescent="0.2"/>
  <cols>
    <col min="5" max="5" width="10.1640625" bestFit="1" customWidth="1"/>
    <col min="6" max="6" width="8.83203125" customWidth="1"/>
    <col min="7" max="7" width="24.1640625" bestFit="1" customWidth="1"/>
    <col min="9" max="9" width="8.33203125" bestFit="1" customWidth="1"/>
    <col min="10" max="10" width="10.1640625" bestFit="1" customWidth="1"/>
    <col min="11" max="11" width="17.6640625" bestFit="1"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9" t="s">
        <v>162</v>
      </c>
    </row>
    <row r="2" spans="1:13" x14ac:dyDescent="0.2">
      <c r="A2">
        <v>1</v>
      </c>
      <c r="B2" t="s">
        <v>12</v>
      </c>
      <c r="C2" t="s">
        <v>18</v>
      </c>
      <c r="D2" t="s">
        <v>24</v>
      </c>
      <c r="E2" s="2">
        <v>33008</v>
      </c>
      <c r="F2" t="s">
        <v>26</v>
      </c>
      <c r="G2" t="s">
        <v>32</v>
      </c>
      <c r="H2" t="s">
        <v>38</v>
      </c>
      <c r="I2" t="s">
        <v>42</v>
      </c>
      <c r="K2" s="3">
        <v>45775.52412037037</v>
      </c>
      <c r="L2" t="s">
        <v>43</v>
      </c>
      <c r="M2">
        <f ca="1">ROUNDDOWN(YEARFRAC(E2,TODAY()),0)</f>
        <v>34</v>
      </c>
    </row>
    <row r="3" spans="1:13" x14ac:dyDescent="0.2">
      <c r="A3">
        <v>2</v>
      </c>
      <c r="B3" t="s">
        <v>13</v>
      </c>
      <c r="C3" t="s">
        <v>19</v>
      </c>
      <c r="D3" t="s">
        <v>25</v>
      </c>
      <c r="E3" s="2">
        <v>34870</v>
      </c>
      <c r="F3" t="s">
        <v>27</v>
      </c>
      <c r="G3" t="s">
        <v>33</v>
      </c>
      <c r="H3" t="s">
        <v>38</v>
      </c>
      <c r="I3" t="s">
        <v>42</v>
      </c>
      <c r="K3" s="3">
        <v>45775.52412037037</v>
      </c>
      <c r="L3" t="s">
        <v>44</v>
      </c>
      <c r="M3">
        <f t="shared" ref="M3:M7" ca="1" si="0">ROUNDDOWN(YEARFRAC(E3,TODAY()),0)</f>
        <v>29</v>
      </c>
    </row>
    <row r="4" spans="1:13" x14ac:dyDescent="0.2">
      <c r="A4">
        <v>3</v>
      </c>
      <c r="B4" t="s">
        <v>14</v>
      </c>
      <c r="C4" t="s">
        <v>20</v>
      </c>
      <c r="D4" t="s">
        <v>24</v>
      </c>
      <c r="E4" s="2">
        <v>32479</v>
      </c>
      <c r="F4" t="s">
        <v>28</v>
      </c>
      <c r="G4" t="s">
        <v>34</v>
      </c>
      <c r="H4" t="s">
        <v>39</v>
      </c>
      <c r="I4" t="s">
        <v>42</v>
      </c>
      <c r="K4" s="3">
        <v>45775.52412037037</v>
      </c>
      <c r="L4" t="s">
        <v>45</v>
      </c>
      <c r="M4">
        <f t="shared" ca="1" si="0"/>
        <v>36</v>
      </c>
    </row>
    <row r="5" spans="1:13" x14ac:dyDescent="0.2">
      <c r="A5">
        <v>4</v>
      </c>
      <c r="B5" t="s">
        <v>15</v>
      </c>
      <c r="C5" t="s">
        <v>21</v>
      </c>
      <c r="D5" t="s">
        <v>25</v>
      </c>
      <c r="E5" s="2">
        <v>36791</v>
      </c>
      <c r="F5" t="s">
        <v>29</v>
      </c>
      <c r="G5" t="s">
        <v>35</v>
      </c>
      <c r="H5" t="s">
        <v>40</v>
      </c>
      <c r="I5" t="s">
        <v>42</v>
      </c>
      <c r="K5" s="3">
        <v>45775.52412037037</v>
      </c>
      <c r="L5" t="s">
        <v>46</v>
      </c>
      <c r="M5">
        <f t="shared" ca="1" si="0"/>
        <v>24</v>
      </c>
    </row>
    <row r="6" spans="1:13" x14ac:dyDescent="0.2">
      <c r="A6">
        <v>5</v>
      </c>
      <c r="B6" t="s">
        <v>16</v>
      </c>
      <c r="C6" t="s">
        <v>22</v>
      </c>
      <c r="D6" t="s">
        <v>24</v>
      </c>
      <c r="E6" s="2">
        <v>33673</v>
      </c>
      <c r="F6" t="s">
        <v>30</v>
      </c>
      <c r="G6" t="s">
        <v>36</v>
      </c>
      <c r="H6" t="s">
        <v>41</v>
      </c>
      <c r="I6" t="s">
        <v>42</v>
      </c>
      <c r="K6" s="3">
        <v>45775.52412037037</v>
      </c>
      <c r="L6" t="s">
        <v>47</v>
      </c>
      <c r="M6">
        <f t="shared" ca="1" si="0"/>
        <v>33</v>
      </c>
    </row>
    <row r="7" spans="1:13" x14ac:dyDescent="0.2">
      <c r="A7">
        <v>6</v>
      </c>
      <c r="B7" t="s">
        <v>17</v>
      </c>
      <c r="C7" t="s">
        <v>23</v>
      </c>
      <c r="D7" t="s">
        <v>25</v>
      </c>
      <c r="E7" s="2">
        <v>31356</v>
      </c>
      <c r="F7" t="s">
        <v>31</v>
      </c>
      <c r="G7" t="s">
        <v>37</v>
      </c>
      <c r="H7" t="s">
        <v>40</v>
      </c>
      <c r="I7" t="s">
        <v>42</v>
      </c>
      <c r="K7" s="3">
        <v>45775.52412037037</v>
      </c>
      <c r="L7" t="s">
        <v>48</v>
      </c>
      <c r="M7">
        <f t="shared" ca="1" si="0"/>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9"/>
  <sheetViews>
    <sheetView workbookViewId="0">
      <selection activeCell="J36" sqref="J36"/>
    </sheetView>
  </sheetViews>
  <sheetFormatPr baseColWidth="10" defaultColWidth="8.83203125" defaultRowHeight="15" x14ac:dyDescent="0.2"/>
  <cols>
    <col min="2" max="2" width="16.33203125" bestFit="1" customWidth="1"/>
    <col min="8" max="8" width="17.6640625" bestFit="1" customWidth="1"/>
  </cols>
  <sheetData>
    <row r="1" spans="1:8" x14ac:dyDescent="0.2">
      <c r="A1" s="1" t="s">
        <v>49</v>
      </c>
      <c r="B1" s="1" t="s">
        <v>50</v>
      </c>
      <c r="C1" s="1" t="s">
        <v>51</v>
      </c>
      <c r="D1" s="1" t="s">
        <v>52</v>
      </c>
      <c r="E1" s="1" t="s">
        <v>53</v>
      </c>
      <c r="F1" s="1" t="s">
        <v>0</v>
      </c>
      <c r="G1" s="1" t="s">
        <v>54</v>
      </c>
      <c r="H1" s="1" t="s">
        <v>10</v>
      </c>
    </row>
    <row r="2" spans="1:8" x14ac:dyDescent="0.2">
      <c r="A2">
        <v>1</v>
      </c>
      <c r="B2" t="s">
        <v>55</v>
      </c>
      <c r="C2">
        <v>105</v>
      </c>
      <c r="D2" t="s">
        <v>103</v>
      </c>
      <c r="E2">
        <v>1</v>
      </c>
      <c r="F2">
        <v>1</v>
      </c>
      <c r="G2" t="s">
        <v>104</v>
      </c>
      <c r="H2" s="3">
        <v>45773.960833333331</v>
      </c>
    </row>
    <row r="3" spans="1:8" x14ac:dyDescent="0.2">
      <c r="A3">
        <v>2</v>
      </c>
      <c r="B3" t="s">
        <v>56</v>
      </c>
      <c r="C3">
        <v>95</v>
      </c>
      <c r="D3" t="s">
        <v>103</v>
      </c>
      <c r="E3">
        <v>1</v>
      </c>
      <c r="F3">
        <v>1</v>
      </c>
      <c r="G3" t="s">
        <v>104</v>
      </c>
      <c r="H3" s="3">
        <v>45773.960833333331</v>
      </c>
    </row>
    <row r="4" spans="1:8" x14ac:dyDescent="0.2">
      <c r="A4">
        <v>3</v>
      </c>
      <c r="B4" t="s">
        <v>57</v>
      </c>
      <c r="C4">
        <v>62</v>
      </c>
      <c r="D4" t="s">
        <v>103</v>
      </c>
      <c r="E4">
        <v>1</v>
      </c>
      <c r="F4">
        <v>1</v>
      </c>
      <c r="G4" t="s">
        <v>104</v>
      </c>
      <c r="H4" s="3">
        <v>45773.960833333331</v>
      </c>
    </row>
    <row r="5" spans="1:8" x14ac:dyDescent="0.2">
      <c r="A5">
        <v>4</v>
      </c>
      <c r="B5" t="s">
        <v>58</v>
      </c>
      <c r="C5">
        <v>85</v>
      </c>
      <c r="D5" t="s">
        <v>103</v>
      </c>
      <c r="E5">
        <v>1</v>
      </c>
      <c r="F5">
        <v>1</v>
      </c>
      <c r="G5" t="s">
        <v>104</v>
      </c>
      <c r="H5" s="3">
        <v>45773.960833333331</v>
      </c>
    </row>
    <row r="6" spans="1:8" x14ac:dyDescent="0.2">
      <c r="A6">
        <v>5</v>
      </c>
      <c r="B6" t="s">
        <v>59</v>
      </c>
      <c r="C6">
        <v>50</v>
      </c>
      <c r="D6" t="s">
        <v>103</v>
      </c>
      <c r="E6">
        <v>1</v>
      </c>
      <c r="F6">
        <v>1</v>
      </c>
      <c r="G6" t="s">
        <v>104</v>
      </c>
      <c r="H6" s="3">
        <v>45773.960833333331</v>
      </c>
    </row>
    <row r="7" spans="1:8" x14ac:dyDescent="0.2">
      <c r="A7">
        <v>6</v>
      </c>
      <c r="B7" t="s">
        <v>60</v>
      </c>
      <c r="C7">
        <v>69</v>
      </c>
      <c r="D7" t="s">
        <v>103</v>
      </c>
      <c r="E7">
        <v>1</v>
      </c>
      <c r="F7">
        <v>1</v>
      </c>
      <c r="G7" t="s">
        <v>104</v>
      </c>
      <c r="H7" s="3">
        <v>45773.960833333331</v>
      </c>
    </row>
    <row r="8" spans="1:8" x14ac:dyDescent="0.2">
      <c r="A8">
        <v>7</v>
      </c>
      <c r="B8" t="s">
        <v>61</v>
      </c>
      <c r="C8">
        <v>46</v>
      </c>
      <c r="D8" t="s">
        <v>103</v>
      </c>
      <c r="E8">
        <v>1</v>
      </c>
      <c r="F8">
        <v>1</v>
      </c>
      <c r="G8" t="s">
        <v>104</v>
      </c>
      <c r="H8" s="3">
        <v>45773.960833333331</v>
      </c>
    </row>
    <row r="9" spans="1:8" x14ac:dyDescent="0.2">
      <c r="A9">
        <v>8</v>
      </c>
      <c r="B9" t="s">
        <v>62</v>
      </c>
      <c r="C9">
        <v>82</v>
      </c>
      <c r="D9" t="s">
        <v>103</v>
      </c>
      <c r="E9">
        <v>1</v>
      </c>
      <c r="F9">
        <v>1</v>
      </c>
      <c r="G9" t="s">
        <v>104</v>
      </c>
      <c r="H9" s="3">
        <v>45773.960833333331</v>
      </c>
    </row>
    <row r="10" spans="1:8" x14ac:dyDescent="0.2">
      <c r="A10">
        <v>9</v>
      </c>
      <c r="B10" t="s">
        <v>63</v>
      </c>
      <c r="C10">
        <v>55</v>
      </c>
      <c r="D10" t="s">
        <v>103</v>
      </c>
      <c r="E10">
        <v>1</v>
      </c>
      <c r="F10">
        <v>2</v>
      </c>
      <c r="G10" t="s">
        <v>105</v>
      </c>
      <c r="H10" s="3">
        <v>45773.960833333331</v>
      </c>
    </row>
    <row r="11" spans="1:8" x14ac:dyDescent="0.2">
      <c r="A11">
        <v>10</v>
      </c>
      <c r="B11" t="s">
        <v>64</v>
      </c>
      <c r="C11">
        <v>41</v>
      </c>
      <c r="D11" t="s">
        <v>103</v>
      </c>
      <c r="E11">
        <v>1</v>
      </c>
      <c r="F11">
        <v>2</v>
      </c>
      <c r="G11" t="s">
        <v>105</v>
      </c>
      <c r="H11" s="3">
        <v>45773.960833333331</v>
      </c>
    </row>
    <row r="12" spans="1:8" x14ac:dyDescent="0.2">
      <c r="A12">
        <v>11</v>
      </c>
      <c r="B12" t="s">
        <v>65</v>
      </c>
      <c r="C12">
        <v>23</v>
      </c>
      <c r="D12" t="s">
        <v>103</v>
      </c>
      <c r="E12">
        <v>1</v>
      </c>
      <c r="F12">
        <v>2</v>
      </c>
      <c r="G12" t="s">
        <v>105</v>
      </c>
      <c r="H12" s="3">
        <v>45773.960833333331</v>
      </c>
    </row>
    <row r="13" spans="1:8" x14ac:dyDescent="0.2">
      <c r="A13">
        <v>12</v>
      </c>
      <c r="B13" t="s">
        <v>66</v>
      </c>
      <c r="C13">
        <v>16</v>
      </c>
      <c r="D13" t="s">
        <v>103</v>
      </c>
      <c r="E13">
        <v>1</v>
      </c>
      <c r="F13">
        <v>2</v>
      </c>
      <c r="G13" t="s">
        <v>105</v>
      </c>
      <c r="H13" s="3">
        <v>45773.960833333331</v>
      </c>
    </row>
    <row r="14" spans="1:8" x14ac:dyDescent="0.2">
      <c r="A14">
        <v>13</v>
      </c>
      <c r="B14" t="s">
        <v>67</v>
      </c>
      <c r="C14">
        <v>22</v>
      </c>
      <c r="D14" t="s">
        <v>103</v>
      </c>
      <c r="E14">
        <v>1</v>
      </c>
      <c r="F14">
        <v>2</v>
      </c>
      <c r="G14" t="s">
        <v>105</v>
      </c>
      <c r="H14" s="3">
        <v>45773.960833333331</v>
      </c>
    </row>
    <row r="15" spans="1:8" x14ac:dyDescent="0.2">
      <c r="A15">
        <v>14</v>
      </c>
      <c r="B15" t="s">
        <v>68</v>
      </c>
      <c r="C15">
        <v>30</v>
      </c>
      <c r="D15" t="s">
        <v>103</v>
      </c>
      <c r="E15">
        <v>1</v>
      </c>
      <c r="F15">
        <v>2</v>
      </c>
      <c r="G15" t="s">
        <v>105</v>
      </c>
      <c r="H15" s="3">
        <v>45773.960833333331</v>
      </c>
    </row>
    <row r="16" spans="1:8" x14ac:dyDescent="0.2">
      <c r="A16">
        <v>15</v>
      </c>
      <c r="B16" t="s">
        <v>69</v>
      </c>
      <c r="C16">
        <v>5</v>
      </c>
      <c r="D16" t="s">
        <v>103</v>
      </c>
      <c r="E16">
        <v>1</v>
      </c>
      <c r="F16">
        <v>2</v>
      </c>
      <c r="G16" t="s">
        <v>105</v>
      </c>
      <c r="H16" s="3">
        <v>45773.960833333331</v>
      </c>
    </row>
    <row r="17" spans="1:8" x14ac:dyDescent="0.2">
      <c r="A17">
        <v>16</v>
      </c>
      <c r="B17" t="s">
        <v>70</v>
      </c>
      <c r="C17">
        <v>17</v>
      </c>
      <c r="D17" t="s">
        <v>103</v>
      </c>
      <c r="E17">
        <v>1</v>
      </c>
      <c r="F17">
        <v>2</v>
      </c>
      <c r="G17" t="s">
        <v>105</v>
      </c>
      <c r="H17" s="3">
        <v>45773.960833333331</v>
      </c>
    </row>
    <row r="18" spans="1:8" x14ac:dyDescent="0.2">
      <c r="A18">
        <v>17</v>
      </c>
      <c r="B18" t="s">
        <v>71</v>
      </c>
      <c r="C18">
        <v>216</v>
      </c>
      <c r="D18" t="s">
        <v>103</v>
      </c>
      <c r="E18">
        <v>1</v>
      </c>
      <c r="F18">
        <v>3</v>
      </c>
      <c r="G18" t="s">
        <v>106</v>
      </c>
      <c r="H18" s="3">
        <v>45773.960833333331</v>
      </c>
    </row>
    <row r="19" spans="1:8" x14ac:dyDescent="0.2">
      <c r="A19">
        <v>18</v>
      </c>
      <c r="B19" t="s">
        <v>72</v>
      </c>
      <c r="C19">
        <v>150</v>
      </c>
      <c r="D19" t="s">
        <v>103</v>
      </c>
      <c r="E19">
        <v>1</v>
      </c>
      <c r="F19">
        <v>3</v>
      </c>
      <c r="G19" t="s">
        <v>106</v>
      </c>
      <c r="H19" s="3">
        <v>45773.960833333331</v>
      </c>
    </row>
    <row r="20" spans="1:8" x14ac:dyDescent="0.2">
      <c r="A20">
        <v>19</v>
      </c>
      <c r="B20" t="s">
        <v>73</v>
      </c>
      <c r="C20">
        <v>120</v>
      </c>
      <c r="D20" t="s">
        <v>103</v>
      </c>
      <c r="E20">
        <v>1</v>
      </c>
      <c r="F20">
        <v>3</v>
      </c>
      <c r="G20" t="s">
        <v>106</v>
      </c>
      <c r="H20" s="3">
        <v>45773.960833333331</v>
      </c>
    </row>
    <row r="21" spans="1:8" x14ac:dyDescent="0.2">
      <c r="A21">
        <v>20</v>
      </c>
      <c r="B21" t="s">
        <v>74</v>
      </c>
      <c r="C21">
        <v>79</v>
      </c>
      <c r="D21" t="s">
        <v>103</v>
      </c>
      <c r="E21">
        <v>1</v>
      </c>
      <c r="F21">
        <v>3</v>
      </c>
      <c r="G21" t="s">
        <v>106</v>
      </c>
      <c r="H21" s="3">
        <v>45773.960833333331</v>
      </c>
    </row>
    <row r="22" spans="1:8" x14ac:dyDescent="0.2">
      <c r="A22">
        <v>21</v>
      </c>
      <c r="B22" t="s">
        <v>75</v>
      </c>
      <c r="C22">
        <v>131</v>
      </c>
      <c r="D22" t="s">
        <v>103</v>
      </c>
      <c r="E22">
        <v>1</v>
      </c>
      <c r="F22">
        <v>3</v>
      </c>
      <c r="G22" t="s">
        <v>106</v>
      </c>
      <c r="H22" s="3">
        <v>45773.960833333331</v>
      </c>
    </row>
    <row r="23" spans="1:8" x14ac:dyDescent="0.2">
      <c r="A23">
        <v>22</v>
      </c>
      <c r="B23" t="s">
        <v>76</v>
      </c>
      <c r="C23">
        <v>103</v>
      </c>
      <c r="D23" t="s">
        <v>103</v>
      </c>
      <c r="E23">
        <v>1</v>
      </c>
      <c r="F23">
        <v>3</v>
      </c>
      <c r="G23" t="s">
        <v>106</v>
      </c>
      <c r="H23" s="3">
        <v>45773.960833333331</v>
      </c>
    </row>
    <row r="24" spans="1:8" x14ac:dyDescent="0.2">
      <c r="A24">
        <v>23</v>
      </c>
      <c r="B24" t="s">
        <v>77</v>
      </c>
      <c r="C24">
        <v>96</v>
      </c>
      <c r="D24" t="s">
        <v>103</v>
      </c>
      <c r="E24">
        <v>1</v>
      </c>
      <c r="F24">
        <v>3</v>
      </c>
      <c r="G24" t="s">
        <v>106</v>
      </c>
      <c r="H24" s="3">
        <v>45773.960833333331</v>
      </c>
    </row>
    <row r="25" spans="1:8" x14ac:dyDescent="0.2">
      <c r="A25">
        <v>24</v>
      </c>
      <c r="B25" t="s">
        <v>78</v>
      </c>
      <c r="C25">
        <v>193</v>
      </c>
      <c r="D25" t="s">
        <v>103</v>
      </c>
      <c r="E25">
        <v>1</v>
      </c>
      <c r="F25">
        <v>3</v>
      </c>
      <c r="G25" t="s">
        <v>106</v>
      </c>
      <c r="H25" s="3">
        <v>45773.960833333331</v>
      </c>
    </row>
    <row r="26" spans="1:8" x14ac:dyDescent="0.2">
      <c r="A26">
        <v>25</v>
      </c>
      <c r="B26" t="s">
        <v>79</v>
      </c>
      <c r="C26">
        <v>165</v>
      </c>
      <c r="D26" t="s">
        <v>103</v>
      </c>
      <c r="E26">
        <v>1</v>
      </c>
      <c r="F26">
        <v>4</v>
      </c>
      <c r="G26" t="s">
        <v>107</v>
      </c>
      <c r="H26" s="3">
        <v>45773.960833333331</v>
      </c>
    </row>
    <row r="27" spans="1:8" x14ac:dyDescent="0.2">
      <c r="A27">
        <v>26</v>
      </c>
      <c r="B27" t="s">
        <v>80</v>
      </c>
      <c r="C27">
        <v>208</v>
      </c>
      <c r="D27" t="s">
        <v>103</v>
      </c>
      <c r="E27">
        <v>1</v>
      </c>
      <c r="F27">
        <v>4</v>
      </c>
      <c r="G27" t="s">
        <v>107</v>
      </c>
      <c r="H27" s="3">
        <v>45773.960833333331</v>
      </c>
    </row>
    <row r="28" spans="1:8" x14ac:dyDescent="0.2">
      <c r="A28">
        <v>27</v>
      </c>
      <c r="B28" t="s">
        <v>81</v>
      </c>
      <c r="C28">
        <v>271</v>
      </c>
      <c r="D28" t="s">
        <v>103</v>
      </c>
      <c r="E28">
        <v>1</v>
      </c>
      <c r="F28">
        <v>4</v>
      </c>
      <c r="G28" t="s">
        <v>107</v>
      </c>
      <c r="H28" s="3">
        <v>45773.960833333331</v>
      </c>
    </row>
    <row r="29" spans="1:8" x14ac:dyDescent="0.2">
      <c r="A29">
        <v>28</v>
      </c>
      <c r="B29" t="s">
        <v>82</v>
      </c>
      <c r="C29">
        <v>242</v>
      </c>
      <c r="D29" t="s">
        <v>103</v>
      </c>
      <c r="E29">
        <v>1</v>
      </c>
      <c r="F29">
        <v>4</v>
      </c>
      <c r="G29" t="s">
        <v>107</v>
      </c>
      <c r="H29" s="3">
        <v>45773.960833333331</v>
      </c>
    </row>
    <row r="30" spans="1:8" x14ac:dyDescent="0.2">
      <c r="A30">
        <v>29</v>
      </c>
      <c r="B30" t="s">
        <v>83</v>
      </c>
      <c r="C30">
        <v>94</v>
      </c>
      <c r="D30" t="s">
        <v>103</v>
      </c>
      <c r="E30">
        <v>1</v>
      </c>
      <c r="F30">
        <v>4</v>
      </c>
      <c r="G30" t="s">
        <v>107</v>
      </c>
      <c r="H30" s="3">
        <v>45773.960833333331</v>
      </c>
    </row>
    <row r="31" spans="1:8" x14ac:dyDescent="0.2">
      <c r="A31">
        <v>30</v>
      </c>
      <c r="B31" t="s">
        <v>84</v>
      </c>
      <c r="C31">
        <v>155</v>
      </c>
      <c r="D31" t="s">
        <v>103</v>
      </c>
      <c r="E31">
        <v>1</v>
      </c>
      <c r="F31">
        <v>4</v>
      </c>
      <c r="G31" t="s">
        <v>107</v>
      </c>
      <c r="H31" s="3">
        <v>45773.960833333331</v>
      </c>
    </row>
    <row r="32" spans="1:8" x14ac:dyDescent="0.2">
      <c r="A32">
        <v>31</v>
      </c>
      <c r="B32" t="s">
        <v>85</v>
      </c>
      <c r="C32">
        <v>135</v>
      </c>
      <c r="D32" t="s">
        <v>103</v>
      </c>
      <c r="E32">
        <v>1</v>
      </c>
      <c r="F32">
        <v>4</v>
      </c>
      <c r="G32" t="s">
        <v>107</v>
      </c>
      <c r="H32" s="3">
        <v>45773.960833333331</v>
      </c>
    </row>
    <row r="33" spans="1:8" x14ac:dyDescent="0.2">
      <c r="A33">
        <v>32</v>
      </c>
      <c r="B33" t="s">
        <v>86</v>
      </c>
      <c r="C33">
        <v>120</v>
      </c>
      <c r="D33" t="s">
        <v>103</v>
      </c>
      <c r="E33">
        <v>1</v>
      </c>
      <c r="F33">
        <v>4</v>
      </c>
      <c r="G33" t="s">
        <v>107</v>
      </c>
      <c r="H33" s="3">
        <v>45773.960833333331</v>
      </c>
    </row>
    <row r="34" spans="1:8" x14ac:dyDescent="0.2">
      <c r="A34">
        <v>33</v>
      </c>
      <c r="B34" t="s">
        <v>87</v>
      </c>
      <c r="C34">
        <v>122</v>
      </c>
      <c r="D34" t="s">
        <v>103</v>
      </c>
      <c r="E34">
        <v>1</v>
      </c>
      <c r="F34">
        <v>5</v>
      </c>
      <c r="G34" t="s">
        <v>108</v>
      </c>
      <c r="H34" s="3">
        <v>45773.960833333331</v>
      </c>
    </row>
    <row r="35" spans="1:8" x14ac:dyDescent="0.2">
      <c r="A35">
        <v>34</v>
      </c>
      <c r="B35" t="s">
        <v>88</v>
      </c>
      <c r="C35">
        <v>100</v>
      </c>
      <c r="D35" t="s">
        <v>103</v>
      </c>
      <c r="E35">
        <v>1</v>
      </c>
      <c r="F35">
        <v>5</v>
      </c>
      <c r="G35" t="s">
        <v>108</v>
      </c>
      <c r="H35" s="3">
        <v>45773.960833333331</v>
      </c>
    </row>
    <row r="36" spans="1:8" x14ac:dyDescent="0.2">
      <c r="A36">
        <v>35</v>
      </c>
      <c r="B36" t="s">
        <v>89</v>
      </c>
      <c r="C36">
        <v>113</v>
      </c>
      <c r="D36" t="s">
        <v>103</v>
      </c>
      <c r="E36">
        <v>1</v>
      </c>
      <c r="F36">
        <v>5</v>
      </c>
      <c r="G36" t="s">
        <v>108</v>
      </c>
      <c r="H36" s="3">
        <v>45773.960833333331</v>
      </c>
    </row>
    <row r="37" spans="1:8" x14ac:dyDescent="0.2">
      <c r="A37">
        <v>36</v>
      </c>
      <c r="B37" t="s">
        <v>90</v>
      </c>
      <c r="C37">
        <v>98</v>
      </c>
      <c r="D37" t="s">
        <v>103</v>
      </c>
      <c r="E37">
        <v>1</v>
      </c>
      <c r="F37">
        <v>5</v>
      </c>
      <c r="G37" t="s">
        <v>108</v>
      </c>
      <c r="H37" s="3">
        <v>45773.960833333331</v>
      </c>
    </row>
    <row r="38" spans="1:8" x14ac:dyDescent="0.2">
      <c r="A38">
        <v>37</v>
      </c>
      <c r="B38" t="s">
        <v>91</v>
      </c>
      <c r="C38">
        <v>85</v>
      </c>
      <c r="D38" t="s">
        <v>103</v>
      </c>
      <c r="E38">
        <v>1</v>
      </c>
      <c r="F38">
        <v>5</v>
      </c>
      <c r="G38" t="s">
        <v>108</v>
      </c>
      <c r="H38" s="3">
        <v>45773.960833333331</v>
      </c>
    </row>
    <row r="39" spans="1:8" x14ac:dyDescent="0.2">
      <c r="A39">
        <v>38</v>
      </c>
      <c r="B39" t="s">
        <v>92</v>
      </c>
      <c r="C39">
        <v>59</v>
      </c>
      <c r="D39" t="s">
        <v>103</v>
      </c>
      <c r="E39">
        <v>1</v>
      </c>
      <c r="F39">
        <v>5</v>
      </c>
      <c r="G39" t="s">
        <v>108</v>
      </c>
      <c r="H39" s="3">
        <v>45773.960833333331</v>
      </c>
    </row>
    <row r="40" spans="1:8" x14ac:dyDescent="0.2">
      <c r="A40">
        <v>39</v>
      </c>
      <c r="B40" t="s">
        <v>93</v>
      </c>
      <c r="C40">
        <v>23</v>
      </c>
      <c r="D40" t="s">
        <v>103</v>
      </c>
      <c r="E40">
        <v>1</v>
      </c>
      <c r="F40">
        <v>5</v>
      </c>
      <c r="G40" t="s">
        <v>108</v>
      </c>
      <c r="H40" s="3">
        <v>45773.960833333331</v>
      </c>
    </row>
    <row r="41" spans="1:8" x14ac:dyDescent="0.2">
      <c r="A41">
        <v>40</v>
      </c>
      <c r="B41" t="s">
        <v>94</v>
      </c>
      <c r="C41">
        <v>102</v>
      </c>
      <c r="D41" t="s">
        <v>103</v>
      </c>
      <c r="E41">
        <v>1</v>
      </c>
      <c r="F41">
        <v>5</v>
      </c>
      <c r="G41" t="s">
        <v>108</v>
      </c>
      <c r="H41" s="3">
        <v>45773.960833333331</v>
      </c>
    </row>
    <row r="42" spans="1:8" x14ac:dyDescent="0.2">
      <c r="A42">
        <v>41</v>
      </c>
      <c r="B42" t="s">
        <v>95</v>
      </c>
      <c r="C42">
        <v>164</v>
      </c>
      <c r="D42" t="s">
        <v>103</v>
      </c>
      <c r="E42">
        <v>1</v>
      </c>
      <c r="F42">
        <v>6</v>
      </c>
      <c r="G42" t="s">
        <v>109</v>
      </c>
      <c r="H42" s="3">
        <v>45773.960833333331</v>
      </c>
    </row>
    <row r="43" spans="1:8" x14ac:dyDescent="0.2">
      <c r="A43">
        <v>42</v>
      </c>
      <c r="B43" t="s">
        <v>96</v>
      </c>
      <c r="C43">
        <v>190</v>
      </c>
      <c r="D43" t="s">
        <v>103</v>
      </c>
      <c r="E43">
        <v>1</v>
      </c>
      <c r="F43">
        <v>6</v>
      </c>
      <c r="G43" t="s">
        <v>109</v>
      </c>
      <c r="H43" s="3">
        <v>45773.960833333331</v>
      </c>
    </row>
    <row r="44" spans="1:8" x14ac:dyDescent="0.2">
      <c r="A44">
        <v>43</v>
      </c>
      <c r="B44" t="s">
        <v>97</v>
      </c>
      <c r="C44">
        <v>185</v>
      </c>
      <c r="D44" t="s">
        <v>103</v>
      </c>
      <c r="E44">
        <v>1</v>
      </c>
      <c r="F44">
        <v>6</v>
      </c>
      <c r="G44" t="s">
        <v>109</v>
      </c>
      <c r="H44" s="3">
        <v>45773.960833333331</v>
      </c>
    </row>
    <row r="45" spans="1:8" x14ac:dyDescent="0.2">
      <c r="A45">
        <v>44</v>
      </c>
      <c r="B45" t="s">
        <v>98</v>
      </c>
      <c r="C45">
        <v>157</v>
      </c>
      <c r="D45" t="s">
        <v>103</v>
      </c>
      <c r="E45">
        <v>1</v>
      </c>
      <c r="F45">
        <v>6</v>
      </c>
      <c r="G45" t="s">
        <v>109</v>
      </c>
      <c r="H45" s="3">
        <v>45773.960833333331</v>
      </c>
    </row>
    <row r="46" spans="1:8" x14ac:dyDescent="0.2">
      <c r="A46">
        <v>45</v>
      </c>
      <c r="B46" t="s">
        <v>99</v>
      </c>
      <c r="C46">
        <v>170</v>
      </c>
      <c r="D46" t="s">
        <v>103</v>
      </c>
      <c r="E46">
        <v>1</v>
      </c>
      <c r="F46">
        <v>6</v>
      </c>
      <c r="G46" t="s">
        <v>109</v>
      </c>
      <c r="H46" s="3">
        <v>45773.960833333331</v>
      </c>
    </row>
    <row r="47" spans="1:8" x14ac:dyDescent="0.2">
      <c r="A47">
        <v>46</v>
      </c>
      <c r="B47" t="s">
        <v>100</v>
      </c>
      <c r="C47">
        <v>31</v>
      </c>
      <c r="D47" t="s">
        <v>103</v>
      </c>
      <c r="E47">
        <v>1</v>
      </c>
      <c r="F47">
        <v>6</v>
      </c>
      <c r="G47" t="s">
        <v>109</v>
      </c>
      <c r="H47" s="3">
        <v>45773.960833333331</v>
      </c>
    </row>
    <row r="48" spans="1:8" x14ac:dyDescent="0.2">
      <c r="A48">
        <v>47</v>
      </c>
      <c r="B48" t="s">
        <v>101</v>
      </c>
      <c r="C48">
        <v>150</v>
      </c>
      <c r="D48" t="s">
        <v>103</v>
      </c>
      <c r="E48">
        <v>1</v>
      </c>
      <c r="F48">
        <v>6</v>
      </c>
      <c r="G48" t="s">
        <v>109</v>
      </c>
      <c r="H48" s="3">
        <v>45773.960833333331</v>
      </c>
    </row>
    <row r="49" spans="1:8" x14ac:dyDescent="0.2">
      <c r="A49">
        <v>48</v>
      </c>
      <c r="B49" t="s">
        <v>102</v>
      </c>
      <c r="C49">
        <v>120</v>
      </c>
      <c r="D49" t="s">
        <v>103</v>
      </c>
      <c r="E49">
        <v>1</v>
      </c>
      <c r="F49">
        <v>6</v>
      </c>
      <c r="G49" t="s">
        <v>109</v>
      </c>
      <c r="H49" s="3">
        <v>45773.960833333331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95"/>
  <sheetViews>
    <sheetView workbookViewId="0">
      <selection activeCell="B1" sqref="B1:H1048576"/>
    </sheetView>
  </sheetViews>
  <sheetFormatPr baseColWidth="10" defaultColWidth="8.83203125" defaultRowHeight="15" x14ac:dyDescent="0.2"/>
  <cols>
    <col min="8" max="8" width="10.6640625" bestFit="1" customWidth="1"/>
    <col min="9" max="9" width="17.6640625" bestFit="1" customWidth="1"/>
  </cols>
  <sheetData>
    <row r="1" spans="1:9" x14ac:dyDescent="0.2">
      <c r="A1" s="1" t="s">
        <v>49</v>
      </c>
      <c r="B1" s="1" t="s">
        <v>0</v>
      </c>
      <c r="C1" s="1" t="s">
        <v>110</v>
      </c>
      <c r="D1" s="1" t="s">
        <v>53</v>
      </c>
      <c r="E1" s="1" t="s">
        <v>111</v>
      </c>
      <c r="F1" s="1" t="s">
        <v>54</v>
      </c>
      <c r="G1" s="1" t="s">
        <v>112</v>
      </c>
      <c r="H1" s="1" t="s">
        <v>113</v>
      </c>
      <c r="I1" s="1" t="s">
        <v>10</v>
      </c>
    </row>
    <row r="2" spans="1:9" x14ac:dyDescent="0.2">
      <c r="A2">
        <v>1</v>
      </c>
      <c r="B2">
        <v>1</v>
      </c>
      <c r="C2">
        <v>1</v>
      </c>
      <c r="D2">
        <v>1</v>
      </c>
      <c r="E2" t="s">
        <v>114</v>
      </c>
      <c r="F2" t="s">
        <v>104</v>
      </c>
      <c r="H2" s="2">
        <v>45768</v>
      </c>
      <c r="I2" s="3">
        <v>45768.333333333343</v>
      </c>
    </row>
    <row r="3" spans="1:9" x14ac:dyDescent="0.2">
      <c r="A3">
        <v>2</v>
      </c>
      <c r="B3">
        <v>1</v>
      </c>
      <c r="C3">
        <v>9</v>
      </c>
      <c r="D3">
        <v>1</v>
      </c>
      <c r="E3" t="s">
        <v>114</v>
      </c>
      <c r="F3" t="s">
        <v>106</v>
      </c>
      <c r="H3" s="2">
        <v>45768</v>
      </c>
      <c r="I3" s="3">
        <v>45768.333333333343</v>
      </c>
    </row>
    <row r="4" spans="1:9" x14ac:dyDescent="0.2">
      <c r="A4">
        <v>3</v>
      </c>
      <c r="B4">
        <v>1</v>
      </c>
      <c r="C4">
        <v>25</v>
      </c>
      <c r="D4">
        <v>1</v>
      </c>
      <c r="E4" t="s">
        <v>115</v>
      </c>
      <c r="F4" t="s">
        <v>107</v>
      </c>
      <c r="H4" s="2">
        <v>45768</v>
      </c>
      <c r="I4" s="3">
        <v>45768.5</v>
      </c>
    </row>
    <row r="5" spans="1:9" x14ac:dyDescent="0.2">
      <c r="A5">
        <v>4</v>
      </c>
      <c r="B5">
        <v>1</v>
      </c>
      <c r="C5">
        <v>10</v>
      </c>
      <c r="D5">
        <v>1</v>
      </c>
      <c r="E5" t="s">
        <v>115</v>
      </c>
      <c r="F5" t="s">
        <v>105</v>
      </c>
      <c r="H5" s="2">
        <v>45768</v>
      </c>
      <c r="I5" s="3">
        <v>45768.5</v>
      </c>
    </row>
    <row r="6" spans="1:9" x14ac:dyDescent="0.2">
      <c r="A6">
        <v>5</v>
      </c>
      <c r="B6">
        <v>1</v>
      </c>
      <c r="C6">
        <v>17</v>
      </c>
      <c r="D6">
        <v>1</v>
      </c>
      <c r="E6" t="s">
        <v>116</v>
      </c>
      <c r="F6" t="s">
        <v>107</v>
      </c>
      <c r="H6" s="2">
        <v>45768</v>
      </c>
      <c r="I6" s="3">
        <v>45768.75</v>
      </c>
    </row>
    <row r="7" spans="1:9" x14ac:dyDescent="0.2">
      <c r="A7">
        <v>6</v>
      </c>
      <c r="B7">
        <v>1</v>
      </c>
      <c r="C7">
        <v>11</v>
      </c>
      <c r="D7">
        <v>1</v>
      </c>
      <c r="E7" t="s">
        <v>116</v>
      </c>
      <c r="F7" t="s">
        <v>105</v>
      </c>
      <c r="H7" s="2">
        <v>45768</v>
      </c>
      <c r="I7" s="3">
        <v>45768.75</v>
      </c>
    </row>
    <row r="8" spans="1:9" x14ac:dyDescent="0.2">
      <c r="A8">
        <v>7</v>
      </c>
      <c r="B8">
        <v>1</v>
      </c>
      <c r="C8">
        <v>33</v>
      </c>
      <c r="D8">
        <v>1</v>
      </c>
      <c r="E8" t="s">
        <v>117</v>
      </c>
      <c r="F8" t="s">
        <v>108</v>
      </c>
      <c r="H8" s="2">
        <v>45768</v>
      </c>
      <c r="I8" s="3">
        <v>45768.625</v>
      </c>
    </row>
    <row r="9" spans="1:9" x14ac:dyDescent="0.2">
      <c r="A9">
        <v>8</v>
      </c>
      <c r="B9">
        <v>1</v>
      </c>
      <c r="C9">
        <v>2</v>
      </c>
      <c r="D9">
        <v>1</v>
      </c>
      <c r="E9" t="s">
        <v>114</v>
      </c>
      <c r="F9" t="s">
        <v>104</v>
      </c>
      <c r="H9" s="2">
        <v>45769</v>
      </c>
      <c r="I9" s="3">
        <v>45769.333333333343</v>
      </c>
    </row>
    <row r="10" spans="1:9" x14ac:dyDescent="0.2">
      <c r="A10">
        <v>9</v>
      </c>
      <c r="B10">
        <v>1</v>
      </c>
      <c r="C10">
        <v>10</v>
      </c>
      <c r="D10">
        <v>1</v>
      </c>
      <c r="E10" t="s">
        <v>114</v>
      </c>
      <c r="F10" t="s">
        <v>106</v>
      </c>
      <c r="H10" s="2">
        <v>45769</v>
      </c>
      <c r="I10" s="3">
        <v>45769.333333333343</v>
      </c>
    </row>
    <row r="11" spans="1:9" x14ac:dyDescent="0.2">
      <c r="A11">
        <v>10</v>
      </c>
      <c r="B11">
        <v>1</v>
      </c>
      <c r="C11">
        <v>26</v>
      </c>
      <c r="D11">
        <v>1</v>
      </c>
      <c r="E11" t="s">
        <v>115</v>
      </c>
      <c r="F11" t="s">
        <v>107</v>
      </c>
      <c r="H11" s="2">
        <v>45769</v>
      </c>
      <c r="I11" s="3">
        <v>45769.5</v>
      </c>
    </row>
    <row r="12" spans="1:9" x14ac:dyDescent="0.2">
      <c r="A12">
        <v>11</v>
      </c>
      <c r="B12">
        <v>1</v>
      </c>
      <c r="C12">
        <v>11</v>
      </c>
      <c r="D12">
        <v>1</v>
      </c>
      <c r="E12" t="s">
        <v>115</v>
      </c>
      <c r="F12" t="s">
        <v>105</v>
      </c>
      <c r="H12" s="2">
        <v>45769</v>
      </c>
      <c r="I12" s="3">
        <v>45769.5</v>
      </c>
    </row>
    <row r="13" spans="1:9" x14ac:dyDescent="0.2">
      <c r="A13">
        <v>12</v>
      </c>
      <c r="B13">
        <v>1</v>
      </c>
      <c r="C13">
        <v>18</v>
      </c>
      <c r="D13">
        <v>1</v>
      </c>
      <c r="E13" t="s">
        <v>116</v>
      </c>
      <c r="F13" t="s">
        <v>107</v>
      </c>
      <c r="H13" s="2">
        <v>45769</v>
      </c>
      <c r="I13" s="3">
        <v>45769.75</v>
      </c>
    </row>
    <row r="14" spans="1:9" x14ac:dyDescent="0.2">
      <c r="A14">
        <v>13</v>
      </c>
      <c r="B14">
        <v>1</v>
      </c>
      <c r="C14">
        <v>12</v>
      </c>
      <c r="D14">
        <v>1</v>
      </c>
      <c r="E14" t="s">
        <v>116</v>
      </c>
      <c r="F14" t="s">
        <v>105</v>
      </c>
      <c r="H14" s="2">
        <v>45769</v>
      </c>
      <c r="I14" s="3">
        <v>45769.75</v>
      </c>
    </row>
    <row r="15" spans="1:9" x14ac:dyDescent="0.2">
      <c r="A15">
        <v>14</v>
      </c>
      <c r="B15">
        <v>1</v>
      </c>
      <c r="C15">
        <v>34</v>
      </c>
      <c r="D15">
        <v>1</v>
      </c>
      <c r="E15" t="s">
        <v>117</v>
      </c>
      <c r="F15" t="s">
        <v>108</v>
      </c>
      <c r="H15" s="2">
        <v>45769</v>
      </c>
      <c r="I15" s="3">
        <v>45769.625</v>
      </c>
    </row>
    <row r="16" spans="1:9" x14ac:dyDescent="0.2">
      <c r="A16">
        <v>15</v>
      </c>
      <c r="B16">
        <v>1</v>
      </c>
      <c r="C16">
        <v>3</v>
      </c>
      <c r="D16">
        <v>1</v>
      </c>
      <c r="E16" t="s">
        <v>114</v>
      </c>
      <c r="F16" t="s">
        <v>104</v>
      </c>
      <c r="H16" s="2">
        <v>45770</v>
      </c>
      <c r="I16" s="3">
        <v>45770.333333333343</v>
      </c>
    </row>
    <row r="17" spans="1:9" x14ac:dyDescent="0.2">
      <c r="A17">
        <v>16</v>
      </c>
      <c r="B17">
        <v>1</v>
      </c>
      <c r="C17">
        <v>11</v>
      </c>
      <c r="D17">
        <v>1</v>
      </c>
      <c r="E17" t="s">
        <v>114</v>
      </c>
      <c r="F17" t="s">
        <v>106</v>
      </c>
      <c r="H17" s="2">
        <v>45770</v>
      </c>
      <c r="I17" s="3">
        <v>45770.333333333343</v>
      </c>
    </row>
    <row r="18" spans="1:9" x14ac:dyDescent="0.2">
      <c r="A18">
        <v>17</v>
      </c>
      <c r="B18">
        <v>1</v>
      </c>
      <c r="C18">
        <v>27</v>
      </c>
      <c r="D18">
        <v>1</v>
      </c>
      <c r="E18" t="s">
        <v>115</v>
      </c>
      <c r="F18" t="s">
        <v>107</v>
      </c>
      <c r="H18" s="2">
        <v>45770</v>
      </c>
      <c r="I18" s="3">
        <v>45770.5</v>
      </c>
    </row>
    <row r="19" spans="1:9" x14ac:dyDescent="0.2">
      <c r="A19">
        <v>18</v>
      </c>
      <c r="B19">
        <v>1</v>
      </c>
      <c r="C19">
        <v>12</v>
      </c>
      <c r="D19">
        <v>1</v>
      </c>
      <c r="E19" t="s">
        <v>115</v>
      </c>
      <c r="F19" t="s">
        <v>105</v>
      </c>
      <c r="H19" s="2">
        <v>45770</v>
      </c>
      <c r="I19" s="3">
        <v>45770.5</v>
      </c>
    </row>
    <row r="20" spans="1:9" x14ac:dyDescent="0.2">
      <c r="A20">
        <v>19</v>
      </c>
      <c r="B20">
        <v>1</v>
      </c>
      <c r="C20">
        <v>19</v>
      </c>
      <c r="D20">
        <v>1</v>
      </c>
      <c r="E20" t="s">
        <v>116</v>
      </c>
      <c r="F20" t="s">
        <v>107</v>
      </c>
      <c r="H20" s="2">
        <v>45770</v>
      </c>
      <c r="I20" s="3">
        <v>45770.75</v>
      </c>
    </row>
    <row r="21" spans="1:9" x14ac:dyDescent="0.2">
      <c r="A21">
        <v>20</v>
      </c>
      <c r="B21">
        <v>1</v>
      </c>
      <c r="C21">
        <v>13</v>
      </c>
      <c r="D21">
        <v>1</v>
      </c>
      <c r="E21" t="s">
        <v>116</v>
      </c>
      <c r="F21" t="s">
        <v>105</v>
      </c>
      <c r="H21" s="2">
        <v>45770</v>
      </c>
      <c r="I21" s="3">
        <v>45770.75</v>
      </c>
    </row>
    <row r="22" spans="1:9" x14ac:dyDescent="0.2">
      <c r="A22">
        <v>21</v>
      </c>
      <c r="B22">
        <v>1</v>
      </c>
      <c r="C22">
        <v>35</v>
      </c>
      <c r="D22">
        <v>1</v>
      </c>
      <c r="E22" t="s">
        <v>117</v>
      </c>
      <c r="F22" t="s">
        <v>108</v>
      </c>
      <c r="H22" s="2">
        <v>45770</v>
      </c>
      <c r="I22" s="3">
        <v>45770.625</v>
      </c>
    </row>
    <row r="23" spans="1:9" x14ac:dyDescent="0.2">
      <c r="A23">
        <v>22</v>
      </c>
      <c r="B23">
        <v>1</v>
      </c>
      <c r="C23">
        <v>4</v>
      </c>
      <c r="D23">
        <v>1</v>
      </c>
      <c r="E23" t="s">
        <v>114</v>
      </c>
      <c r="F23" t="s">
        <v>104</v>
      </c>
      <c r="H23" s="2">
        <v>45771</v>
      </c>
      <c r="I23" s="3">
        <v>45771.333333333343</v>
      </c>
    </row>
    <row r="24" spans="1:9" x14ac:dyDescent="0.2">
      <c r="A24">
        <v>23</v>
      </c>
      <c r="B24">
        <v>1</v>
      </c>
      <c r="C24">
        <v>12</v>
      </c>
      <c r="D24">
        <v>1</v>
      </c>
      <c r="E24" t="s">
        <v>114</v>
      </c>
      <c r="F24" t="s">
        <v>106</v>
      </c>
      <c r="H24" s="2">
        <v>45771</v>
      </c>
      <c r="I24" s="3">
        <v>45771.333333333343</v>
      </c>
    </row>
    <row r="25" spans="1:9" x14ac:dyDescent="0.2">
      <c r="A25">
        <v>24</v>
      </c>
      <c r="B25">
        <v>1</v>
      </c>
      <c r="C25">
        <v>28</v>
      </c>
      <c r="D25">
        <v>1</v>
      </c>
      <c r="E25" t="s">
        <v>115</v>
      </c>
      <c r="F25" t="s">
        <v>107</v>
      </c>
      <c r="H25" s="2">
        <v>45771</v>
      </c>
      <c r="I25" s="3">
        <v>45771.5</v>
      </c>
    </row>
    <row r="26" spans="1:9" x14ac:dyDescent="0.2">
      <c r="A26">
        <v>25</v>
      </c>
      <c r="B26">
        <v>1</v>
      </c>
      <c r="C26">
        <v>13</v>
      </c>
      <c r="D26">
        <v>1</v>
      </c>
      <c r="E26" t="s">
        <v>115</v>
      </c>
      <c r="F26" t="s">
        <v>105</v>
      </c>
      <c r="H26" s="2">
        <v>45771</v>
      </c>
      <c r="I26" s="3">
        <v>45771.5</v>
      </c>
    </row>
    <row r="27" spans="1:9" x14ac:dyDescent="0.2">
      <c r="A27">
        <v>26</v>
      </c>
      <c r="B27">
        <v>1</v>
      </c>
      <c r="C27">
        <v>20</v>
      </c>
      <c r="D27">
        <v>1</v>
      </c>
      <c r="E27" t="s">
        <v>116</v>
      </c>
      <c r="F27" t="s">
        <v>107</v>
      </c>
      <c r="H27" s="2">
        <v>45771</v>
      </c>
      <c r="I27" s="3">
        <v>45771.75</v>
      </c>
    </row>
    <row r="28" spans="1:9" x14ac:dyDescent="0.2">
      <c r="A28">
        <v>27</v>
      </c>
      <c r="B28">
        <v>1</v>
      </c>
      <c r="C28">
        <v>14</v>
      </c>
      <c r="D28">
        <v>1</v>
      </c>
      <c r="E28" t="s">
        <v>116</v>
      </c>
      <c r="F28" t="s">
        <v>105</v>
      </c>
      <c r="H28" s="2">
        <v>45771</v>
      </c>
      <c r="I28" s="3">
        <v>45771.75</v>
      </c>
    </row>
    <row r="29" spans="1:9" x14ac:dyDescent="0.2">
      <c r="A29">
        <v>28</v>
      </c>
      <c r="B29">
        <v>1</v>
      </c>
      <c r="C29">
        <v>36</v>
      </c>
      <c r="D29">
        <v>1</v>
      </c>
      <c r="E29" t="s">
        <v>117</v>
      </c>
      <c r="F29" t="s">
        <v>108</v>
      </c>
      <c r="H29" s="2">
        <v>45771</v>
      </c>
      <c r="I29" s="3">
        <v>45771.625</v>
      </c>
    </row>
    <row r="30" spans="1:9" x14ac:dyDescent="0.2">
      <c r="A30">
        <v>29</v>
      </c>
      <c r="B30">
        <v>1</v>
      </c>
      <c r="C30">
        <v>5</v>
      </c>
      <c r="D30">
        <v>1</v>
      </c>
      <c r="E30" t="s">
        <v>114</v>
      </c>
      <c r="F30" t="s">
        <v>104</v>
      </c>
      <c r="H30" s="2">
        <v>45772</v>
      </c>
      <c r="I30" s="3">
        <v>45772.333333333343</v>
      </c>
    </row>
    <row r="31" spans="1:9" x14ac:dyDescent="0.2">
      <c r="A31">
        <v>30</v>
      </c>
      <c r="B31">
        <v>1</v>
      </c>
      <c r="C31">
        <v>13</v>
      </c>
      <c r="D31">
        <v>1</v>
      </c>
      <c r="E31" t="s">
        <v>114</v>
      </c>
      <c r="F31" t="s">
        <v>106</v>
      </c>
      <c r="H31" s="2">
        <v>45772</v>
      </c>
      <c r="I31" s="3">
        <v>45772.333333333343</v>
      </c>
    </row>
    <row r="32" spans="1:9" x14ac:dyDescent="0.2">
      <c r="A32">
        <v>31</v>
      </c>
      <c r="B32">
        <v>1</v>
      </c>
      <c r="C32">
        <v>29</v>
      </c>
      <c r="D32">
        <v>1</v>
      </c>
      <c r="E32" t="s">
        <v>115</v>
      </c>
      <c r="F32" t="s">
        <v>107</v>
      </c>
      <c r="H32" s="2">
        <v>45772</v>
      </c>
      <c r="I32" s="3">
        <v>45772.5</v>
      </c>
    </row>
    <row r="33" spans="1:9" x14ac:dyDescent="0.2">
      <c r="A33">
        <v>32</v>
      </c>
      <c r="B33">
        <v>1</v>
      </c>
      <c r="C33">
        <v>14</v>
      </c>
      <c r="D33">
        <v>1</v>
      </c>
      <c r="E33" t="s">
        <v>115</v>
      </c>
      <c r="F33" t="s">
        <v>105</v>
      </c>
      <c r="H33" s="2">
        <v>45772</v>
      </c>
      <c r="I33" s="3">
        <v>45772.5</v>
      </c>
    </row>
    <row r="34" spans="1:9" x14ac:dyDescent="0.2">
      <c r="A34">
        <v>33</v>
      </c>
      <c r="B34">
        <v>1</v>
      </c>
      <c r="C34">
        <v>21</v>
      </c>
      <c r="D34">
        <v>1</v>
      </c>
      <c r="E34" t="s">
        <v>116</v>
      </c>
      <c r="F34" t="s">
        <v>107</v>
      </c>
      <c r="H34" s="2">
        <v>45772</v>
      </c>
      <c r="I34" s="3">
        <v>45772.75</v>
      </c>
    </row>
    <row r="35" spans="1:9" x14ac:dyDescent="0.2">
      <c r="A35">
        <v>34</v>
      </c>
      <c r="B35">
        <v>1</v>
      </c>
      <c r="C35">
        <v>15</v>
      </c>
      <c r="D35">
        <v>1</v>
      </c>
      <c r="E35" t="s">
        <v>116</v>
      </c>
      <c r="F35" t="s">
        <v>105</v>
      </c>
      <c r="H35" s="2">
        <v>45772</v>
      </c>
      <c r="I35" s="3">
        <v>45772.75</v>
      </c>
    </row>
    <row r="36" spans="1:9" x14ac:dyDescent="0.2">
      <c r="A36">
        <v>35</v>
      </c>
      <c r="B36">
        <v>1</v>
      </c>
      <c r="C36">
        <v>37</v>
      </c>
      <c r="D36">
        <v>1</v>
      </c>
      <c r="E36" t="s">
        <v>117</v>
      </c>
      <c r="F36" t="s">
        <v>108</v>
      </c>
      <c r="H36" s="2">
        <v>45772</v>
      </c>
      <c r="I36" s="3">
        <v>45772.625</v>
      </c>
    </row>
    <row r="37" spans="1:9" x14ac:dyDescent="0.2">
      <c r="A37">
        <v>36</v>
      </c>
      <c r="B37">
        <v>1</v>
      </c>
      <c r="C37">
        <v>6</v>
      </c>
      <c r="D37">
        <v>1</v>
      </c>
      <c r="E37" t="s">
        <v>114</v>
      </c>
      <c r="F37" t="s">
        <v>104</v>
      </c>
      <c r="H37" s="2">
        <v>45773</v>
      </c>
      <c r="I37" s="3">
        <v>45773.333333333343</v>
      </c>
    </row>
    <row r="38" spans="1:9" x14ac:dyDescent="0.2">
      <c r="A38">
        <v>37</v>
      </c>
      <c r="B38">
        <v>1</v>
      </c>
      <c r="C38">
        <v>14</v>
      </c>
      <c r="D38">
        <v>1</v>
      </c>
      <c r="E38" t="s">
        <v>114</v>
      </c>
      <c r="F38" t="s">
        <v>106</v>
      </c>
      <c r="H38" s="2">
        <v>45773</v>
      </c>
      <c r="I38" s="3">
        <v>45773.333333333343</v>
      </c>
    </row>
    <row r="39" spans="1:9" x14ac:dyDescent="0.2">
      <c r="A39">
        <v>38</v>
      </c>
      <c r="B39">
        <v>1</v>
      </c>
      <c r="C39">
        <v>30</v>
      </c>
      <c r="D39">
        <v>1</v>
      </c>
      <c r="E39" t="s">
        <v>115</v>
      </c>
      <c r="F39" t="s">
        <v>107</v>
      </c>
      <c r="H39" s="2">
        <v>45773</v>
      </c>
      <c r="I39" s="3">
        <v>45773.5</v>
      </c>
    </row>
    <row r="40" spans="1:9" x14ac:dyDescent="0.2">
      <c r="A40">
        <v>39</v>
      </c>
      <c r="B40">
        <v>1</v>
      </c>
      <c r="C40">
        <v>15</v>
      </c>
      <c r="D40">
        <v>1</v>
      </c>
      <c r="E40" t="s">
        <v>115</v>
      </c>
      <c r="F40" t="s">
        <v>105</v>
      </c>
      <c r="H40" s="2">
        <v>45773</v>
      </c>
      <c r="I40" s="3">
        <v>45773.5</v>
      </c>
    </row>
    <row r="41" spans="1:9" x14ac:dyDescent="0.2">
      <c r="A41">
        <v>40</v>
      </c>
      <c r="B41">
        <v>1</v>
      </c>
      <c r="C41">
        <v>22</v>
      </c>
      <c r="D41">
        <v>1</v>
      </c>
      <c r="E41" t="s">
        <v>116</v>
      </c>
      <c r="F41" t="s">
        <v>107</v>
      </c>
      <c r="H41" s="2">
        <v>45773</v>
      </c>
      <c r="I41" s="3">
        <v>45773.75</v>
      </c>
    </row>
    <row r="42" spans="1:9" x14ac:dyDescent="0.2">
      <c r="A42">
        <v>41</v>
      </c>
      <c r="B42">
        <v>1</v>
      </c>
      <c r="C42">
        <v>16</v>
      </c>
      <c r="D42">
        <v>1</v>
      </c>
      <c r="E42" t="s">
        <v>116</v>
      </c>
      <c r="F42" t="s">
        <v>105</v>
      </c>
      <c r="H42" s="2">
        <v>45773</v>
      </c>
      <c r="I42" s="3">
        <v>45773.75</v>
      </c>
    </row>
    <row r="43" spans="1:9" x14ac:dyDescent="0.2">
      <c r="A43">
        <v>42</v>
      </c>
      <c r="B43">
        <v>1</v>
      </c>
      <c r="C43">
        <v>38</v>
      </c>
      <c r="D43">
        <v>1</v>
      </c>
      <c r="E43" t="s">
        <v>117</v>
      </c>
      <c r="F43" t="s">
        <v>108</v>
      </c>
      <c r="H43" s="2">
        <v>45773</v>
      </c>
      <c r="I43" s="3">
        <v>45773.625</v>
      </c>
    </row>
    <row r="44" spans="1:9" x14ac:dyDescent="0.2">
      <c r="A44">
        <v>43</v>
      </c>
      <c r="B44">
        <v>1</v>
      </c>
      <c r="C44">
        <v>7</v>
      </c>
      <c r="D44">
        <v>1</v>
      </c>
      <c r="E44" t="s">
        <v>114</v>
      </c>
      <c r="F44" t="s">
        <v>104</v>
      </c>
      <c r="H44" s="2">
        <v>45774</v>
      </c>
      <c r="I44" s="3">
        <v>45774.333333333343</v>
      </c>
    </row>
    <row r="45" spans="1:9" x14ac:dyDescent="0.2">
      <c r="A45">
        <v>44</v>
      </c>
      <c r="B45">
        <v>1</v>
      </c>
      <c r="C45">
        <v>15</v>
      </c>
      <c r="D45">
        <v>1</v>
      </c>
      <c r="E45" t="s">
        <v>114</v>
      </c>
      <c r="F45" t="s">
        <v>106</v>
      </c>
      <c r="H45" s="2">
        <v>45774</v>
      </c>
      <c r="I45" s="3">
        <v>45774.333333333343</v>
      </c>
    </row>
    <row r="46" spans="1:9" x14ac:dyDescent="0.2">
      <c r="A46">
        <v>45</v>
      </c>
      <c r="B46">
        <v>1</v>
      </c>
      <c r="C46">
        <v>31</v>
      </c>
      <c r="D46">
        <v>1</v>
      </c>
      <c r="E46" t="s">
        <v>115</v>
      </c>
      <c r="F46" t="s">
        <v>107</v>
      </c>
      <c r="H46" s="2">
        <v>45774</v>
      </c>
      <c r="I46" s="3">
        <v>45774.5</v>
      </c>
    </row>
    <row r="47" spans="1:9" x14ac:dyDescent="0.2">
      <c r="A47">
        <v>46</v>
      </c>
      <c r="B47">
        <v>1</v>
      </c>
      <c r="C47">
        <v>16</v>
      </c>
      <c r="D47">
        <v>1</v>
      </c>
      <c r="E47" t="s">
        <v>115</v>
      </c>
      <c r="F47" t="s">
        <v>105</v>
      </c>
      <c r="H47" s="2">
        <v>45774</v>
      </c>
      <c r="I47" s="3">
        <v>45774.5</v>
      </c>
    </row>
    <row r="48" spans="1:9" x14ac:dyDescent="0.2">
      <c r="A48">
        <v>47</v>
      </c>
      <c r="B48">
        <v>1</v>
      </c>
      <c r="C48">
        <v>23</v>
      </c>
      <c r="D48">
        <v>1</v>
      </c>
      <c r="E48" t="s">
        <v>116</v>
      </c>
      <c r="F48" t="s">
        <v>107</v>
      </c>
      <c r="H48" s="2">
        <v>45774</v>
      </c>
      <c r="I48" s="3">
        <v>45774.75</v>
      </c>
    </row>
    <row r="49" spans="1:9" x14ac:dyDescent="0.2">
      <c r="A49">
        <v>48</v>
      </c>
      <c r="B49">
        <v>1</v>
      </c>
      <c r="C49">
        <v>9</v>
      </c>
      <c r="D49">
        <v>1</v>
      </c>
      <c r="E49" t="s">
        <v>116</v>
      </c>
      <c r="F49" t="s">
        <v>105</v>
      </c>
      <c r="H49" s="2">
        <v>45774</v>
      </c>
      <c r="I49" s="3">
        <v>45774.75</v>
      </c>
    </row>
    <row r="50" spans="1:9" x14ac:dyDescent="0.2">
      <c r="A50">
        <v>49</v>
      </c>
      <c r="B50">
        <v>1</v>
      </c>
      <c r="C50">
        <v>32</v>
      </c>
      <c r="D50">
        <v>1</v>
      </c>
      <c r="E50" t="s">
        <v>117</v>
      </c>
      <c r="F50" t="s">
        <v>108</v>
      </c>
      <c r="H50" s="2">
        <v>45774</v>
      </c>
      <c r="I50" s="3">
        <v>45774.625</v>
      </c>
    </row>
    <row r="51" spans="1:9" x14ac:dyDescent="0.2">
      <c r="A51">
        <v>50</v>
      </c>
      <c r="B51">
        <v>2</v>
      </c>
      <c r="C51">
        <v>2</v>
      </c>
      <c r="D51">
        <v>1</v>
      </c>
      <c r="E51" t="s">
        <v>114</v>
      </c>
      <c r="F51" t="s">
        <v>104</v>
      </c>
      <c r="H51" s="2">
        <v>45768</v>
      </c>
      <c r="I51" s="3">
        <v>45768.333333333343</v>
      </c>
    </row>
    <row r="52" spans="1:9" x14ac:dyDescent="0.2">
      <c r="A52">
        <v>51</v>
      </c>
      <c r="B52">
        <v>2</v>
      </c>
      <c r="C52">
        <v>10</v>
      </c>
      <c r="D52">
        <v>1</v>
      </c>
      <c r="E52" t="s">
        <v>114</v>
      </c>
      <c r="F52" t="s">
        <v>106</v>
      </c>
      <c r="H52" s="2">
        <v>45768</v>
      </c>
      <c r="I52" s="3">
        <v>45768.333333333343</v>
      </c>
    </row>
    <row r="53" spans="1:9" x14ac:dyDescent="0.2">
      <c r="A53">
        <v>52</v>
      </c>
      <c r="B53">
        <v>2</v>
      </c>
      <c r="C53">
        <v>26</v>
      </c>
      <c r="D53">
        <v>1</v>
      </c>
      <c r="E53" t="s">
        <v>115</v>
      </c>
      <c r="F53" t="s">
        <v>107</v>
      </c>
      <c r="H53" s="2">
        <v>45768</v>
      </c>
      <c r="I53" s="3">
        <v>45768.5</v>
      </c>
    </row>
    <row r="54" spans="1:9" x14ac:dyDescent="0.2">
      <c r="A54">
        <v>53</v>
      </c>
      <c r="B54">
        <v>2</v>
      </c>
      <c r="C54">
        <v>11</v>
      </c>
      <c r="D54">
        <v>1</v>
      </c>
      <c r="E54" t="s">
        <v>115</v>
      </c>
      <c r="F54" t="s">
        <v>105</v>
      </c>
      <c r="H54" s="2">
        <v>45768</v>
      </c>
      <c r="I54" s="3">
        <v>45768.5</v>
      </c>
    </row>
    <row r="55" spans="1:9" x14ac:dyDescent="0.2">
      <c r="A55">
        <v>54</v>
      </c>
      <c r="B55">
        <v>2</v>
      </c>
      <c r="C55">
        <v>18</v>
      </c>
      <c r="D55">
        <v>1</v>
      </c>
      <c r="E55" t="s">
        <v>116</v>
      </c>
      <c r="F55" t="s">
        <v>107</v>
      </c>
      <c r="H55" s="2">
        <v>45768</v>
      </c>
      <c r="I55" s="3">
        <v>45768.75</v>
      </c>
    </row>
    <row r="56" spans="1:9" x14ac:dyDescent="0.2">
      <c r="A56">
        <v>55</v>
      </c>
      <c r="B56">
        <v>2</v>
      </c>
      <c r="C56">
        <v>12</v>
      </c>
      <c r="D56">
        <v>1</v>
      </c>
      <c r="E56" t="s">
        <v>116</v>
      </c>
      <c r="F56" t="s">
        <v>105</v>
      </c>
      <c r="H56" s="2">
        <v>45768</v>
      </c>
      <c r="I56" s="3">
        <v>45768.75</v>
      </c>
    </row>
    <row r="57" spans="1:9" x14ac:dyDescent="0.2">
      <c r="A57">
        <v>56</v>
      </c>
      <c r="B57">
        <v>2</v>
      </c>
      <c r="C57">
        <v>34</v>
      </c>
      <c r="D57">
        <v>1</v>
      </c>
      <c r="E57" t="s">
        <v>117</v>
      </c>
      <c r="F57" t="s">
        <v>108</v>
      </c>
      <c r="H57" s="2">
        <v>45768</v>
      </c>
      <c r="I57" s="3">
        <v>45768.625</v>
      </c>
    </row>
    <row r="58" spans="1:9" x14ac:dyDescent="0.2">
      <c r="A58">
        <v>57</v>
      </c>
      <c r="B58">
        <v>2</v>
      </c>
      <c r="C58">
        <v>3</v>
      </c>
      <c r="D58">
        <v>1</v>
      </c>
      <c r="E58" t="s">
        <v>114</v>
      </c>
      <c r="F58" t="s">
        <v>104</v>
      </c>
      <c r="H58" s="2">
        <v>45769</v>
      </c>
      <c r="I58" s="3">
        <v>45769.333333333343</v>
      </c>
    </row>
    <row r="59" spans="1:9" x14ac:dyDescent="0.2">
      <c r="A59">
        <v>58</v>
      </c>
      <c r="B59">
        <v>2</v>
      </c>
      <c r="C59">
        <v>11</v>
      </c>
      <c r="D59">
        <v>1</v>
      </c>
      <c r="E59" t="s">
        <v>114</v>
      </c>
      <c r="F59" t="s">
        <v>106</v>
      </c>
      <c r="H59" s="2">
        <v>45769</v>
      </c>
      <c r="I59" s="3">
        <v>45769.333333333343</v>
      </c>
    </row>
    <row r="60" spans="1:9" x14ac:dyDescent="0.2">
      <c r="A60">
        <v>59</v>
      </c>
      <c r="B60">
        <v>2</v>
      </c>
      <c r="C60">
        <v>27</v>
      </c>
      <c r="D60">
        <v>1</v>
      </c>
      <c r="E60" t="s">
        <v>115</v>
      </c>
      <c r="F60" t="s">
        <v>107</v>
      </c>
      <c r="H60" s="2">
        <v>45769</v>
      </c>
      <c r="I60" s="3">
        <v>45769.5</v>
      </c>
    </row>
    <row r="61" spans="1:9" x14ac:dyDescent="0.2">
      <c r="A61">
        <v>60</v>
      </c>
      <c r="B61">
        <v>2</v>
      </c>
      <c r="C61">
        <v>12</v>
      </c>
      <c r="D61">
        <v>1</v>
      </c>
      <c r="E61" t="s">
        <v>115</v>
      </c>
      <c r="F61" t="s">
        <v>105</v>
      </c>
      <c r="H61" s="2">
        <v>45769</v>
      </c>
      <c r="I61" s="3">
        <v>45769.5</v>
      </c>
    </row>
    <row r="62" spans="1:9" x14ac:dyDescent="0.2">
      <c r="A62">
        <v>61</v>
      </c>
      <c r="B62">
        <v>2</v>
      </c>
      <c r="C62">
        <v>19</v>
      </c>
      <c r="D62">
        <v>1</v>
      </c>
      <c r="E62" t="s">
        <v>116</v>
      </c>
      <c r="F62" t="s">
        <v>107</v>
      </c>
      <c r="H62" s="2">
        <v>45769</v>
      </c>
      <c r="I62" s="3">
        <v>45769.75</v>
      </c>
    </row>
    <row r="63" spans="1:9" x14ac:dyDescent="0.2">
      <c r="A63">
        <v>62</v>
      </c>
      <c r="B63">
        <v>2</v>
      </c>
      <c r="C63">
        <v>13</v>
      </c>
      <c r="D63">
        <v>1</v>
      </c>
      <c r="E63" t="s">
        <v>116</v>
      </c>
      <c r="F63" t="s">
        <v>105</v>
      </c>
      <c r="H63" s="2">
        <v>45769</v>
      </c>
      <c r="I63" s="3">
        <v>45769.75</v>
      </c>
    </row>
    <row r="64" spans="1:9" x14ac:dyDescent="0.2">
      <c r="A64">
        <v>63</v>
      </c>
      <c r="B64">
        <v>2</v>
      </c>
      <c r="C64">
        <v>35</v>
      </c>
      <c r="D64">
        <v>1</v>
      </c>
      <c r="E64" t="s">
        <v>117</v>
      </c>
      <c r="F64" t="s">
        <v>108</v>
      </c>
      <c r="H64" s="2">
        <v>45769</v>
      </c>
      <c r="I64" s="3">
        <v>45769.625</v>
      </c>
    </row>
    <row r="65" spans="1:9" x14ac:dyDescent="0.2">
      <c r="A65">
        <v>64</v>
      </c>
      <c r="B65">
        <v>2</v>
      </c>
      <c r="C65">
        <v>4</v>
      </c>
      <c r="D65">
        <v>1</v>
      </c>
      <c r="E65" t="s">
        <v>114</v>
      </c>
      <c r="F65" t="s">
        <v>104</v>
      </c>
      <c r="H65" s="2">
        <v>45770</v>
      </c>
      <c r="I65" s="3">
        <v>45770.333333333343</v>
      </c>
    </row>
    <row r="66" spans="1:9" x14ac:dyDescent="0.2">
      <c r="A66">
        <v>65</v>
      </c>
      <c r="B66">
        <v>2</v>
      </c>
      <c r="C66">
        <v>12</v>
      </c>
      <c r="D66">
        <v>1</v>
      </c>
      <c r="E66" t="s">
        <v>114</v>
      </c>
      <c r="F66" t="s">
        <v>106</v>
      </c>
      <c r="H66" s="2">
        <v>45770</v>
      </c>
      <c r="I66" s="3">
        <v>45770.333333333343</v>
      </c>
    </row>
    <row r="67" spans="1:9" x14ac:dyDescent="0.2">
      <c r="A67">
        <v>66</v>
      </c>
      <c r="B67">
        <v>2</v>
      </c>
      <c r="C67">
        <v>28</v>
      </c>
      <c r="D67">
        <v>1</v>
      </c>
      <c r="E67" t="s">
        <v>115</v>
      </c>
      <c r="F67" t="s">
        <v>107</v>
      </c>
      <c r="H67" s="2">
        <v>45770</v>
      </c>
      <c r="I67" s="3">
        <v>45770.5</v>
      </c>
    </row>
    <row r="68" spans="1:9" x14ac:dyDescent="0.2">
      <c r="A68">
        <v>67</v>
      </c>
      <c r="B68">
        <v>2</v>
      </c>
      <c r="C68">
        <v>13</v>
      </c>
      <c r="D68">
        <v>1</v>
      </c>
      <c r="E68" t="s">
        <v>115</v>
      </c>
      <c r="F68" t="s">
        <v>105</v>
      </c>
      <c r="H68" s="2">
        <v>45770</v>
      </c>
      <c r="I68" s="3">
        <v>45770.5</v>
      </c>
    </row>
    <row r="69" spans="1:9" x14ac:dyDescent="0.2">
      <c r="A69">
        <v>68</v>
      </c>
      <c r="B69">
        <v>2</v>
      </c>
      <c r="C69">
        <v>20</v>
      </c>
      <c r="D69">
        <v>1</v>
      </c>
      <c r="E69" t="s">
        <v>116</v>
      </c>
      <c r="F69" t="s">
        <v>107</v>
      </c>
      <c r="H69" s="2">
        <v>45770</v>
      </c>
      <c r="I69" s="3">
        <v>45770.75</v>
      </c>
    </row>
    <row r="70" spans="1:9" x14ac:dyDescent="0.2">
      <c r="A70">
        <v>69</v>
      </c>
      <c r="B70">
        <v>2</v>
      </c>
      <c r="C70">
        <v>14</v>
      </c>
      <c r="D70">
        <v>1</v>
      </c>
      <c r="E70" t="s">
        <v>116</v>
      </c>
      <c r="F70" t="s">
        <v>105</v>
      </c>
      <c r="H70" s="2">
        <v>45770</v>
      </c>
      <c r="I70" s="3">
        <v>45770.75</v>
      </c>
    </row>
    <row r="71" spans="1:9" x14ac:dyDescent="0.2">
      <c r="A71">
        <v>70</v>
      </c>
      <c r="B71">
        <v>2</v>
      </c>
      <c r="C71">
        <v>36</v>
      </c>
      <c r="D71">
        <v>1</v>
      </c>
      <c r="E71" t="s">
        <v>117</v>
      </c>
      <c r="F71" t="s">
        <v>108</v>
      </c>
      <c r="H71" s="2">
        <v>45770</v>
      </c>
      <c r="I71" s="3">
        <v>45770.625</v>
      </c>
    </row>
    <row r="72" spans="1:9" x14ac:dyDescent="0.2">
      <c r="A72">
        <v>71</v>
      </c>
      <c r="B72">
        <v>2</v>
      </c>
      <c r="C72">
        <v>5</v>
      </c>
      <c r="D72">
        <v>1</v>
      </c>
      <c r="E72" t="s">
        <v>114</v>
      </c>
      <c r="F72" t="s">
        <v>104</v>
      </c>
      <c r="H72" s="2">
        <v>45771</v>
      </c>
      <c r="I72" s="3">
        <v>45771.333333333343</v>
      </c>
    </row>
    <row r="73" spans="1:9" x14ac:dyDescent="0.2">
      <c r="A73">
        <v>72</v>
      </c>
      <c r="B73">
        <v>2</v>
      </c>
      <c r="C73">
        <v>13</v>
      </c>
      <c r="D73">
        <v>1</v>
      </c>
      <c r="E73" t="s">
        <v>114</v>
      </c>
      <c r="F73" t="s">
        <v>106</v>
      </c>
      <c r="H73" s="2">
        <v>45771</v>
      </c>
      <c r="I73" s="3">
        <v>45771.333333333343</v>
      </c>
    </row>
    <row r="74" spans="1:9" x14ac:dyDescent="0.2">
      <c r="A74">
        <v>73</v>
      </c>
      <c r="B74">
        <v>2</v>
      </c>
      <c r="C74">
        <v>29</v>
      </c>
      <c r="D74">
        <v>1</v>
      </c>
      <c r="E74" t="s">
        <v>115</v>
      </c>
      <c r="F74" t="s">
        <v>107</v>
      </c>
      <c r="H74" s="2">
        <v>45771</v>
      </c>
      <c r="I74" s="3">
        <v>45771.5</v>
      </c>
    </row>
    <row r="75" spans="1:9" x14ac:dyDescent="0.2">
      <c r="A75">
        <v>74</v>
      </c>
      <c r="B75">
        <v>2</v>
      </c>
      <c r="C75">
        <v>14</v>
      </c>
      <c r="D75">
        <v>1</v>
      </c>
      <c r="E75" t="s">
        <v>115</v>
      </c>
      <c r="F75" t="s">
        <v>105</v>
      </c>
      <c r="H75" s="2">
        <v>45771</v>
      </c>
      <c r="I75" s="3">
        <v>45771.5</v>
      </c>
    </row>
    <row r="76" spans="1:9" x14ac:dyDescent="0.2">
      <c r="A76">
        <v>75</v>
      </c>
      <c r="B76">
        <v>2</v>
      </c>
      <c r="C76">
        <v>21</v>
      </c>
      <c r="D76">
        <v>1</v>
      </c>
      <c r="E76" t="s">
        <v>116</v>
      </c>
      <c r="F76" t="s">
        <v>107</v>
      </c>
      <c r="H76" s="2">
        <v>45771</v>
      </c>
      <c r="I76" s="3">
        <v>45771.75</v>
      </c>
    </row>
    <row r="77" spans="1:9" x14ac:dyDescent="0.2">
      <c r="A77">
        <v>76</v>
      </c>
      <c r="B77">
        <v>2</v>
      </c>
      <c r="C77">
        <v>15</v>
      </c>
      <c r="D77">
        <v>1</v>
      </c>
      <c r="E77" t="s">
        <v>116</v>
      </c>
      <c r="F77" t="s">
        <v>105</v>
      </c>
      <c r="H77" s="2">
        <v>45771</v>
      </c>
      <c r="I77" s="3">
        <v>45771.75</v>
      </c>
    </row>
    <row r="78" spans="1:9" x14ac:dyDescent="0.2">
      <c r="A78">
        <v>77</v>
      </c>
      <c r="B78">
        <v>2</v>
      </c>
      <c r="C78">
        <v>37</v>
      </c>
      <c r="D78">
        <v>1</v>
      </c>
      <c r="E78" t="s">
        <v>117</v>
      </c>
      <c r="F78" t="s">
        <v>108</v>
      </c>
      <c r="H78" s="2">
        <v>45771</v>
      </c>
      <c r="I78" s="3">
        <v>45771.625</v>
      </c>
    </row>
    <row r="79" spans="1:9" x14ac:dyDescent="0.2">
      <c r="A79">
        <v>78</v>
      </c>
      <c r="B79">
        <v>2</v>
      </c>
      <c r="C79">
        <v>6</v>
      </c>
      <c r="D79">
        <v>1</v>
      </c>
      <c r="E79" t="s">
        <v>114</v>
      </c>
      <c r="F79" t="s">
        <v>104</v>
      </c>
      <c r="H79" s="2">
        <v>45772</v>
      </c>
      <c r="I79" s="3">
        <v>45772.333333333343</v>
      </c>
    </row>
    <row r="80" spans="1:9" x14ac:dyDescent="0.2">
      <c r="A80">
        <v>79</v>
      </c>
      <c r="B80">
        <v>2</v>
      </c>
      <c r="C80">
        <v>14</v>
      </c>
      <c r="D80">
        <v>1</v>
      </c>
      <c r="E80" t="s">
        <v>114</v>
      </c>
      <c r="F80" t="s">
        <v>106</v>
      </c>
      <c r="H80" s="2">
        <v>45772</v>
      </c>
      <c r="I80" s="3">
        <v>45772.333333333343</v>
      </c>
    </row>
    <row r="81" spans="1:9" x14ac:dyDescent="0.2">
      <c r="A81">
        <v>80</v>
      </c>
      <c r="B81">
        <v>2</v>
      </c>
      <c r="C81">
        <v>30</v>
      </c>
      <c r="D81">
        <v>1</v>
      </c>
      <c r="E81" t="s">
        <v>115</v>
      </c>
      <c r="F81" t="s">
        <v>107</v>
      </c>
      <c r="H81" s="2">
        <v>45772</v>
      </c>
      <c r="I81" s="3">
        <v>45772.5</v>
      </c>
    </row>
    <row r="82" spans="1:9" x14ac:dyDescent="0.2">
      <c r="A82">
        <v>81</v>
      </c>
      <c r="B82">
        <v>2</v>
      </c>
      <c r="C82">
        <v>15</v>
      </c>
      <c r="D82">
        <v>1</v>
      </c>
      <c r="E82" t="s">
        <v>115</v>
      </c>
      <c r="F82" t="s">
        <v>105</v>
      </c>
      <c r="H82" s="2">
        <v>45772</v>
      </c>
      <c r="I82" s="3">
        <v>45772.5</v>
      </c>
    </row>
    <row r="83" spans="1:9" x14ac:dyDescent="0.2">
      <c r="A83">
        <v>82</v>
      </c>
      <c r="B83">
        <v>2</v>
      </c>
      <c r="C83">
        <v>22</v>
      </c>
      <c r="D83">
        <v>1</v>
      </c>
      <c r="E83" t="s">
        <v>116</v>
      </c>
      <c r="F83" t="s">
        <v>107</v>
      </c>
      <c r="H83" s="2">
        <v>45772</v>
      </c>
      <c r="I83" s="3">
        <v>45772.75</v>
      </c>
    </row>
    <row r="84" spans="1:9" x14ac:dyDescent="0.2">
      <c r="A84">
        <v>83</v>
      </c>
      <c r="B84">
        <v>2</v>
      </c>
      <c r="C84">
        <v>16</v>
      </c>
      <c r="D84">
        <v>1</v>
      </c>
      <c r="E84" t="s">
        <v>116</v>
      </c>
      <c r="F84" t="s">
        <v>105</v>
      </c>
      <c r="H84" s="2">
        <v>45772</v>
      </c>
      <c r="I84" s="3">
        <v>45772.75</v>
      </c>
    </row>
    <row r="85" spans="1:9" x14ac:dyDescent="0.2">
      <c r="A85">
        <v>84</v>
      </c>
      <c r="B85">
        <v>2</v>
      </c>
      <c r="C85">
        <v>38</v>
      </c>
      <c r="D85">
        <v>1</v>
      </c>
      <c r="E85" t="s">
        <v>117</v>
      </c>
      <c r="F85" t="s">
        <v>108</v>
      </c>
      <c r="H85" s="2">
        <v>45772</v>
      </c>
      <c r="I85" s="3">
        <v>45772.625</v>
      </c>
    </row>
    <row r="86" spans="1:9" x14ac:dyDescent="0.2">
      <c r="A86">
        <v>85</v>
      </c>
      <c r="B86">
        <v>2</v>
      </c>
      <c r="C86">
        <v>7</v>
      </c>
      <c r="D86">
        <v>1</v>
      </c>
      <c r="E86" t="s">
        <v>114</v>
      </c>
      <c r="F86" t="s">
        <v>104</v>
      </c>
      <c r="H86" s="2">
        <v>45773</v>
      </c>
      <c r="I86" s="3">
        <v>45773.333333333343</v>
      </c>
    </row>
    <row r="87" spans="1:9" x14ac:dyDescent="0.2">
      <c r="A87">
        <v>86</v>
      </c>
      <c r="B87">
        <v>2</v>
      </c>
      <c r="C87">
        <v>15</v>
      </c>
      <c r="D87">
        <v>1</v>
      </c>
      <c r="E87" t="s">
        <v>114</v>
      </c>
      <c r="F87" t="s">
        <v>106</v>
      </c>
      <c r="H87" s="2">
        <v>45773</v>
      </c>
      <c r="I87" s="3">
        <v>45773.333333333343</v>
      </c>
    </row>
    <row r="88" spans="1:9" x14ac:dyDescent="0.2">
      <c r="A88">
        <v>87</v>
      </c>
      <c r="B88">
        <v>2</v>
      </c>
      <c r="C88">
        <v>31</v>
      </c>
      <c r="D88">
        <v>1</v>
      </c>
      <c r="E88" t="s">
        <v>115</v>
      </c>
      <c r="F88" t="s">
        <v>107</v>
      </c>
      <c r="H88" s="2">
        <v>45773</v>
      </c>
      <c r="I88" s="3">
        <v>45773.5</v>
      </c>
    </row>
    <row r="89" spans="1:9" x14ac:dyDescent="0.2">
      <c r="A89">
        <v>88</v>
      </c>
      <c r="B89">
        <v>2</v>
      </c>
      <c r="C89">
        <v>16</v>
      </c>
      <c r="D89">
        <v>1</v>
      </c>
      <c r="E89" t="s">
        <v>115</v>
      </c>
      <c r="F89" t="s">
        <v>105</v>
      </c>
      <c r="H89" s="2">
        <v>45773</v>
      </c>
      <c r="I89" s="3">
        <v>45773.5</v>
      </c>
    </row>
    <row r="90" spans="1:9" x14ac:dyDescent="0.2">
      <c r="A90">
        <v>89</v>
      </c>
      <c r="B90">
        <v>2</v>
      </c>
      <c r="C90">
        <v>23</v>
      </c>
      <c r="D90">
        <v>1</v>
      </c>
      <c r="E90" t="s">
        <v>116</v>
      </c>
      <c r="F90" t="s">
        <v>107</v>
      </c>
      <c r="H90" s="2">
        <v>45773</v>
      </c>
      <c r="I90" s="3">
        <v>45773.75</v>
      </c>
    </row>
    <row r="91" spans="1:9" x14ac:dyDescent="0.2">
      <c r="A91">
        <v>90</v>
      </c>
      <c r="B91">
        <v>2</v>
      </c>
      <c r="C91">
        <v>9</v>
      </c>
      <c r="D91">
        <v>1</v>
      </c>
      <c r="E91" t="s">
        <v>116</v>
      </c>
      <c r="F91" t="s">
        <v>105</v>
      </c>
      <c r="H91" s="2">
        <v>45773</v>
      </c>
      <c r="I91" s="3">
        <v>45773.75</v>
      </c>
    </row>
    <row r="92" spans="1:9" x14ac:dyDescent="0.2">
      <c r="A92">
        <v>91</v>
      </c>
      <c r="B92">
        <v>2</v>
      </c>
      <c r="C92">
        <v>32</v>
      </c>
      <c r="D92">
        <v>1</v>
      </c>
      <c r="E92" t="s">
        <v>117</v>
      </c>
      <c r="F92" t="s">
        <v>108</v>
      </c>
      <c r="H92" s="2">
        <v>45773</v>
      </c>
      <c r="I92" s="3">
        <v>45773.625</v>
      </c>
    </row>
    <row r="93" spans="1:9" x14ac:dyDescent="0.2">
      <c r="A93">
        <v>92</v>
      </c>
      <c r="B93">
        <v>2</v>
      </c>
      <c r="C93">
        <v>8</v>
      </c>
      <c r="D93">
        <v>1</v>
      </c>
      <c r="E93" t="s">
        <v>114</v>
      </c>
      <c r="F93" t="s">
        <v>104</v>
      </c>
      <c r="H93" s="2">
        <v>45774</v>
      </c>
      <c r="I93" s="3">
        <v>45774.333333333343</v>
      </c>
    </row>
    <row r="94" spans="1:9" x14ac:dyDescent="0.2">
      <c r="A94">
        <v>93</v>
      </c>
      <c r="B94">
        <v>2</v>
      </c>
      <c r="C94">
        <v>16</v>
      </c>
      <c r="D94">
        <v>1</v>
      </c>
      <c r="E94" t="s">
        <v>114</v>
      </c>
      <c r="F94" t="s">
        <v>106</v>
      </c>
      <c r="H94" s="2">
        <v>45774</v>
      </c>
      <c r="I94" s="3">
        <v>45774.333333333343</v>
      </c>
    </row>
    <row r="95" spans="1:9" x14ac:dyDescent="0.2">
      <c r="A95">
        <v>94</v>
      </c>
      <c r="B95">
        <v>2</v>
      </c>
      <c r="C95">
        <v>32</v>
      </c>
      <c r="D95">
        <v>1</v>
      </c>
      <c r="E95" t="s">
        <v>115</v>
      </c>
      <c r="F95" t="s">
        <v>107</v>
      </c>
      <c r="H95" s="2">
        <v>45774</v>
      </c>
      <c r="I95" s="3">
        <v>45774.5</v>
      </c>
    </row>
    <row r="96" spans="1:9" x14ac:dyDescent="0.2">
      <c r="A96">
        <v>95</v>
      </c>
      <c r="B96">
        <v>2</v>
      </c>
      <c r="C96">
        <v>9</v>
      </c>
      <c r="D96">
        <v>1</v>
      </c>
      <c r="E96" t="s">
        <v>115</v>
      </c>
      <c r="F96" t="s">
        <v>105</v>
      </c>
      <c r="H96" s="2">
        <v>45774</v>
      </c>
      <c r="I96" s="3">
        <v>45774.5</v>
      </c>
    </row>
    <row r="97" spans="1:9" x14ac:dyDescent="0.2">
      <c r="A97">
        <v>96</v>
      </c>
      <c r="B97">
        <v>2</v>
      </c>
      <c r="C97">
        <v>24</v>
      </c>
      <c r="D97">
        <v>1</v>
      </c>
      <c r="E97" t="s">
        <v>116</v>
      </c>
      <c r="F97" t="s">
        <v>107</v>
      </c>
      <c r="H97" s="2">
        <v>45774</v>
      </c>
      <c r="I97" s="3">
        <v>45774.75</v>
      </c>
    </row>
    <row r="98" spans="1:9" x14ac:dyDescent="0.2">
      <c r="A98">
        <v>97</v>
      </c>
      <c r="B98">
        <v>2</v>
      </c>
      <c r="C98">
        <v>10</v>
      </c>
      <c r="D98">
        <v>1</v>
      </c>
      <c r="E98" t="s">
        <v>116</v>
      </c>
      <c r="F98" t="s">
        <v>105</v>
      </c>
      <c r="H98" s="2">
        <v>45774</v>
      </c>
      <c r="I98" s="3">
        <v>45774.75</v>
      </c>
    </row>
    <row r="99" spans="1:9" x14ac:dyDescent="0.2">
      <c r="A99">
        <v>98</v>
      </c>
      <c r="B99">
        <v>2</v>
      </c>
      <c r="C99">
        <v>33</v>
      </c>
      <c r="D99">
        <v>1</v>
      </c>
      <c r="E99" t="s">
        <v>117</v>
      </c>
      <c r="F99" t="s">
        <v>108</v>
      </c>
      <c r="H99" s="2">
        <v>45774</v>
      </c>
      <c r="I99" s="3">
        <v>45774.625</v>
      </c>
    </row>
    <row r="100" spans="1:9" x14ac:dyDescent="0.2">
      <c r="A100">
        <v>99</v>
      </c>
      <c r="B100">
        <v>3</v>
      </c>
      <c r="C100">
        <v>3</v>
      </c>
      <c r="D100">
        <v>1</v>
      </c>
      <c r="E100" t="s">
        <v>114</v>
      </c>
      <c r="F100" t="s">
        <v>104</v>
      </c>
      <c r="H100" s="2">
        <v>45768</v>
      </c>
      <c r="I100" s="3">
        <v>45768.333333333343</v>
      </c>
    </row>
    <row r="101" spans="1:9" x14ac:dyDescent="0.2">
      <c r="A101">
        <v>100</v>
      </c>
      <c r="B101">
        <v>3</v>
      </c>
      <c r="C101">
        <v>11</v>
      </c>
      <c r="D101">
        <v>1</v>
      </c>
      <c r="E101" t="s">
        <v>114</v>
      </c>
      <c r="F101" t="s">
        <v>106</v>
      </c>
      <c r="H101" s="2">
        <v>45768</v>
      </c>
      <c r="I101" s="3">
        <v>45768.333333333343</v>
      </c>
    </row>
    <row r="102" spans="1:9" x14ac:dyDescent="0.2">
      <c r="A102">
        <v>101</v>
      </c>
      <c r="B102">
        <v>3</v>
      </c>
      <c r="C102">
        <v>27</v>
      </c>
      <c r="D102">
        <v>1</v>
      </c>
      <c r="E102" t="s">
        <v>115</v>
      </c>
      <c r="F102" t="s">
        <v>107</v>
      </c>
      <c r="H102" s="2">
        <v>45768</v>
      </c>
      <c r="I102" s="3">
        <v>45768.5</v>
      </c>
    </row>
    <row r="103" spans="1:9" x14ac:dyDescent="0.2">
      <c r="A103">
        <v>102</v>
      </c>
      <c r="B103">
        <v>3</v>
      </c>
      <c r="C103">
        <v>12</v>
      </c>
      <c r="D103">
        <v>1</v>
      </c>
      <c r="E103" t="s">
        <v>115</v>
      </c>
      <c r="F103" t="s">
        <v>105</v>
      </c>
      <c r="H103" s="2">
        <v>45768</v>
      </c>
      <c r="I103" s="3">
        <v>45768.5</v>
      </c>
    </row>
    <row r="104" spans="1:9" x14ac:dyDescent="0.2">
      <c r="A104">
        <v>103</v>
      </c>
      <c r="B104">
        <v>3</v>
      </c>
      <c r="C104">
        <v>19</v>
      </c>
      <c r="D104">
        <v>1</v>
      </c>
      <c r="E104" t="s">
        <v>116</v>
      </c>
      <c r="F104" t="s">
        <v>107</v>
      </c>
      <c r="H104" s="2">
        <v>45768</v>
      </c>
      <c r="I104" s="3">
        <v>45768.75</v>
      </c>
    </row>
    <row r="105" spans="1:9" x14ac:dyDescent="0.2">
      <c r="A105">
        <v>104</v>
      </c>
      <c r="B105">
        <v>3</v>
      </c>
      <c r="C105">
        <v>13</v>
      </c>
      <c r="D105">
        <v>1</v>
      </c>
      <c r="E105" t="s">
        <v>116</v>
      </c>
      <c r="F105" t="s">
        <v>105</v>
      </c>
      <c r="H105" s="2">
        <v>45768</v>
      </c>
      <c r="I105" s="3">
        <v>45768.75</v>
      </c>
    </row>
    <row r="106" spans="1:9" x14ac:dyDescent="0.2">
      <c r="A106">
        <v>105</v>
      </c>
      <c r="B106">
        <v>3</v>
      </c>
      <c r="C106">
        <v>35</v>
      </c>
      <c r="D106">
        <v>1</v>
      </c>
      <c r="E106" t="s">
        <v>117</v>
      </c>
      <c r="F106" t="s">
        <v>108</v>
      </c>
      <c r="H106" s="2">
        <v>45768</v>
      </c>
      <c r="I106" s="3">
        <v>45768.625</v>
      </c>
    </row>
    <row r="107" spans="1:9" x14ac:dyDescent="0.2">
      <c r="A107">
        <v>106</v>
      </c>
      <c r="B107">
        <v>3</v>
      </c>
      <c r="C107">
        <v>4</v>
      </c>
      <c r="D107">
        <v>1</v>
      </c>
      <c r="E107" t="s">
        <v>114</v>
      </c>
      <c r="F107" t="s">
        <v>104</v>
      </c>
      <c r="H107" s="2">
        <v>45769</v>
      </c>
      <c r="I107" s="3">
        <v>45769.333333333343</v>
      </c>
    </row>
    <row r="108" spans="1:9" x14ac:dyDescent="0.2">
      <c r="A108">
        <v>107</v>
      </c>
      <c r="B108">
        <v>3</v>
      </c>
      <c r="C108">
        <v>12</v>
      </c>
      <c r="D108">
        <v>1</v>
      </c>
      <c r="E108" t="s">
        <v>114</v>
      </c>
      <c r="F108" t="s">
        <v>106</v>
      </c>
      <c r="H108" s="2">
        <v>45769</v>
      </c>
      <c r="I108" s="3">
        <v>45769.333333333343</v>
      </c>
    </row>
    <row r="109" spans="1:9" x14ac:dyDescent="0.2">
      <c r="A109">
        <v>108</v>
      </c>
      <c r="B109">
        <v>3</v>
      </c>
      <c r="C109">
        <v>28</v>
      </c>
      <c r="D109">
        <v>1</v>
      </c>
      <c r="E109" t="s">
        <v>115</v>
      </c>
      <c r="F109" t="s">
        <v>107</v>
      </c>
      <c r="H109" s="2">
        <v>45769</v>
      </c>
      <c r="I109" s="3">
        <v>45769.5</v>
      </c>
    </row>
    <row r="110" spans="1:9" x14ac:dyDescent="0.2">
      <c r="A110">
        <v>109</v>
      </c>
      <c r="B110">
        <v>3</v>
      </c>
      <c r="C110">
        <v>13</v>
      </c>
      <c r="D110">
        <v>1</v>
      </c>
      <c r="E110" t="s">
        <v>115</v>
      </c>
      <c r="F110" t="s">
        <v>105</v>
      </c>
      <c r="H110" s="2">
        <v>45769</v>
      </c>
      <c r="I110" s="3">
        <v>45769.5</v>
      </c>
    </row>
    <row r="111" spans="1:9" x14ac:dyDescent="0.2">
      <c r="A111">
        <v>110</v>
      </c>
      <c r="B111">
        <v>3</v>
      </c>
      <c r="C111">
        <v>20</v>
      </c>
      <c r="D111">
        <v>1</v>
      </c>
      <c r="E111" t="s">
        <v>116</v>
      </c>
      <c r="F111" t="s">
        <v>107</v>
      </c>
      <c r="H111" s="2">
        <v>45769</v>
      </c>
      <c r="I111" s="3">
        <v>45769.75</v>
      </c>
    </row>
    <row r="112" spans="1:9" x14ac:dyDescent="0.2">
      <c r="A112">
        <v>111</v>
      </c>
      <c r="B112">
        <v>3</v>
      </c>
      <c r="C112">
        <v>14</v>
      </c>
      <c r="D112">
        <v>1</v>
      </c>
      <c r="E112" t="s">
        <v>116</v>
      </c>
      <c r="F112" t="s">
        <v>105</v>
      </c>
      <c r="H112" s="2">
        <v>45769</v>
      </c>
      <c r="I112" s="3">
        <v>45769.75</v>
      </c>
    </row>
    <row r="113" spans="1:9" x14ac:dyDescent="0.2">
      <c r="A113">
        <v>112</v>
      </c>
      <c r="B113">
        <v>3</v>
      </c>
      <c r="C113">
        <v>36</v>
      </c>
      <c r="D113">
        <v>1</v>
      </c>
      <c r="E113" t="s">
        <v>117</v>
      </c>
      <c r="F113" t="s">
        <v>108</v>
      </c>
      <c r="H113" s="2">
        <v>45769</v>
      </c>
      <c r="I113" s="3">
        <v>45769.625</v>
      </c>
    </row>
    <row r="114" spans="1:9" x14ac:dyDescent="0.2">
      <c r="A114">
        <v>113</v>
      </c>
      <c r="B114">
        <v>3</v>
      </c>
      <c r="C114">
        <v>5</v>
      </c>
      <c r="D114">
        <v>1</v>
      </c>
      <c r="E114" t="s">
        <v>114</v>
      </c>
      <c r="F114" t="s">
        <v>104</v>
      </c>
      <c r="H114" s="2">
        <v>45770</v>
      </c>
      <c r="I114" s="3">
        <v>45770.333333333343</v>
      </c>
    </row>
    <row r="115" spans="1:9" x14ac:dyDescent="0.2">
      <c r="A115">
        <v>114</v>
      </c>
      <c r="B115">
        <v>3</v>
      </c>
      <c r="C115">
        <v>13</v>
      </c>
      <c r="D115">
        <v>1</v>
      </c>
      <c r="E115" t="s">
        <v>114</v>
      </c>
      <c r="F115" t="s">
        <v>106</v>
      </c>
      <c r="H115" s="2">
        <v>45770</v>
      </c>
      <c r="I115" s="3">
        <v>45770.333333333343</v>
      </c>
    </row>
    <row r="116" spans="1:9" x14ac:dyDescent="0.2">
      <c r="A116">
        <v>115</v>
      </c>
      <c r="B116">
        <v>3</v>
      </c>
      <c r="C116">
        <v>29</v>
      </c>
      <c r="D116">
        <v>1</v>
      </c>
      <c r="E116" t="s">
        <v>115</v>
      </c>
      <c r="F116" t="s">
        <v>107</v>
      </c>
      <c r="H116" s="2">
        <v>45770</v>
      </c>
      <c r="I116" s="3">
        <v>45770.5</v>
      </c>
    </row>
    <row r="117" spans="1:9" x14ac:dyDescent="0.2">
      <c r="A117">
        <v>116</v>
      </c>
      <c r="B117">
        <v>3</v>
      </c>
      <c r="C117">
        <v>14</v>
      </c>
      <c r="D117">
        <v>1</v>
      </c>
      <c r="E117" t="s">
        <v>115</v>
      </c>
      <c r="F117" t="s">
        <v>105</v>
      </c>
      <c r="H117" s="2">
        <v>45770</v>
      </c>
      <c r="I117" s="3">
        <v>45770.5</v>
      </c>
    </row>
    <row r="118" spans="1:9" x14ac:dyDescent="0.2">
      <c r="A118">
        <v>117</v>
      </c>
      <c r="B118">
        <v>3</v>
      </c>
      <c r="C118">
        <v>21</v>
      </c>
      <c r="D118">
        <v>1</v>
      </c>
      <c r="E118" t="s">
        <v>116</v>
      </c>
      <c r="F118" t="s">
        <v>107</v>
      </c>
      <c r="H118" s="2">
        <v>45770</v>
      </c>
      <c r="I118" s="3">
        <v>45770.75</v>
      </c>
    </row>
    <row r="119" spans="1:9" x14ac:dyDescent="0.2">
      <c r="A119">
        <v>118</v>
      </c>
      <c r="B119">
        <v>3</v>
      </c>
      <c r="C119">
        <v>15</v>
      </c>
      <c r="D119">
        <v>1</v>
      </c>
      <c r="E119" t="s">
        <v>116</v>
      </c>
      <c r="F119" t="s">
        <v>105</v>
      </c>
      <c r="H119" s="2">
        <v>45770</v>
      </c>
      <c r="I119" s="3">
        <v>45770.75</v>
      </c>
    </row>
    <row r="120" spans="1:9" x14ac:dyDescent="0.2">
      <c r="A120">
        <v>119</v>
      </c>
      <c r="B120">
        <v>3</v>
      </c>
      <c r="C120">
        <v>37</v>
      </c>
      <c r="D120">
        <v>1</v>
      </c>
      <c r="E120" t="s">
        <v>117</v>
      </c>
      <c r="F120" t="s">
        <v>108</v>
      </c>
      <c r="H120" s="2">
        <v>45770</v>
      </c>
      <c r="I120" s="3">
        <v>45770.625</v>
      </c>
    </row>
    <row r="121" spans="1:9" x14ac:dyDescent="0.2">
      <c r="A121">
        <v>120</v>
      </c>
      <c r="B121">
        <v>3</v>
      </c>
      <c r="C121">
        <v>6</v>
      </c>
      <c r="D121">
        <v>1</v>
      </c>
      <c r="E121" t="s">
        <v>114</v>
      </c>
      <c r="F121" t="s">
        <v>104</v>
      </c>
      <c r="H121" s="2">
        <v>45771</v>
      </c>
      <c r="I121" s="3">
        <v>45771.333333333343</v>
      </c>
    </row>
    <row r="122" spans="1:9" x14ac:dyDescent="0.2">
      <c r="A122">
        <v>121</v>
      </c>
      <c r="B122">
        <v>3</v>
      </c>
      <c r="C122">
        <v>14</v>
      </c>
      <c r="D122">
        <v>1</v>
      </c>
      <c r="E122" t="s">
        <v>114</v>
      </c>
      <c r="F122" t="s">
        <v>106</v>
      </c>
      <c r="H122" s="2">
        <v>45771</v>
      </c>
      <c r="I122" s="3">
        <v>45771.333333333343</v>
      </c>
    </row>
    <row r="123" spans="1:9" x14ac:dyDescent="0.2">
      <c r="A123">
        <v>122</v>
      </c>
      <c r="B123">
        <v>3</v>
      </c>
      <c r="C123">
        <v>30</v>
      </c>
      <c r="D123">
        <v>1</v>
      </c>
      <c r="E123" t="s">
        <v>115</v>
      </c>
      <c r="F123" t="s">
        <v>107</v>
      </c>
      <c r="H123" s="2">
        <v>45771</v>
      </c>
      <c r="I123" s="3">
        <v>45771.5</v>
      </c>
    </row>
    <row r="124" spans="1:9" x14ac:dyDescent="0.2">
      <c r="A124">
        <v>123</v>
      </c>
      <c r="B124">
        <v>3</v>
      </c>
      <c r="C124">
        <v>15</v>
      </c>
      <c r="D124">
        <v>1</v>
      </c>
      <c r="E124" t="s">
        <v>115</v>
      </c>
      <c r="F124" t="s">
        <v>105</v>
      </c>
      <c r="H124" s="2">
        <v>45771</v>
      </c>
      <c r="I124" s="3">
        <v>45771.5</v>
      </c>
    </row>
    <row r="125" spans="1:9" x14ac:dyDescent="0.2">
      <c r="A125">
        <v>124</v>
      </c>
      <c r="B125">
        <v>3</v>
      </c>
      <c r="C125">
        <v>22</v>
      </c>
      <c r="D125">
        <v>1</v>
      </c>
      <c r="E125" t="s">
        <v>116</v>
      </c>
      <c r="F125" t="s">
        <v>107</v>
      </c>
      <c r="H125" s="2">
        <v>45771</v>
      </c>
      <c r="I125" s="3">
        <v>45771.75</v>
      </c>
    </row>
    <row r="126" spans="1:9" x14ac:dyDescent="0.2">
      <c r="A126">
        <v>125</v>
      </c>
      <c r="B126">
        <v>3</v>
      </c>
      <c r="C126">
        <v>16</v>
      </c>
      <c r="D126">
        <v>1</v>
      </c>
      <c r="E126" t="s">
        <v>116</v>
      </c>
      <c r="F126" t="s">
        <v>105</v>
      </c>
      <c r="H126" s="2">
        <v>45771</v>
      </c>
      <c r="I126" s="3">
        <v>45771.75</v>
      </c>
    </row>
    <row r="127" spans="1:9" x14ac:dyDescent="0.2">
      <c r="A127">
        <v>126</v>
      </c>
      <c r="B127">
        <v>3</v>
      </c>
      <c r="C127">
        <v>38</v>
      </c>
      <c r="D127">
        <v>1</v>
      </c>
      <c r="E127" t="s">
        <v>117</v>
      </c>
      <c r="F127" t="s">
        <v>108</v>
      </c>
      <c r="H127" s="2">
        <v>45771</v>
      </c>
      <c r="I127" s="3">
        <v>45771.625</v>
      </c>
    </row>
    <row r="128" spans="1:9" x14ac:dyDescent="0.2">
      <c r="A128">
        <v>127</v>
      </c>
      <c r="B128">
        <v>3</v>
      </c>
      <c r="C128">
        <v>7</v>
      </c>
      <c r="D128">
        <v>1</v>
      </c>
      <c r="E128" t="s">
        <v>114</v>
      </c>
      <c r="F128" t="s">
        <v>104</v>
      </c>
      <c r="H128" s="2">
        <v>45772</v>
      </c>
      <c r="I128" s="3">
        <v>45772.333333333343</v>
      </c>
    </row>
    <row r="129" spans="1:9" x14ac:dyDescent="0.2">
      <c r="A129">
        <v>128</v>
      </c>
      <c r="B129">
        <v>3</v>
      </c>
      <c r="C129">
        <v>15</v>
      </c>
      <c r="D129">
        <v>1</v>
      </c>
      <c r="E129" t="s">
        <v>114</v>
      </c>
      <c r="F129" t="s">
        <v>106</v>
      </c>
      <c r="H129" s="2">
        <v>45772</v>
      </c>
      <c r="I129" s="3">
        <v>45772.333333333343</v>
      </c>
    </row>
    <row r="130" spans="1:9" x14ac:dyDescent="0.2">
      <c r="A130">
        <v>129</v>
      </c>
      <c r="B130">
        <v>3</v>
      </c>
      <c r="C130">
        <v>31</v>
      </c>
      <c r="D130">
        <v>1</v>
      </c>
      <c r="E130" t="s">
        <v>115</v>
      </c>
      <c r="F130" t="s">
        <v>107</v>
      </c>
      <c r="H130" s="2">
        <v>45772</v>
      </c>
      <c r="I130" s="3">
        <v>45772.5</v>
      </c>
    </row>
    <row r="131" spans="1:9" x14ac:dyDescent="0.2">
      <c r="A131">
        <v>130</v>
      </c>
      <c r="B131">
        <v>3</v>
      </c>
      <c r="C131">
        <v>16</v>
      </c>
      <c r="D131">
        <v>1</v>
      </c>
      <c r="E131" t="s">
        <v>115</v>
      </c>
      <c r="F131" t="s">
        <v>105</v>
      </c>
      <c r="H131" s="2">
        <v>45772</v>
      </c>
      <c r="I131" s="3">
        <v>45772.5</v>
      </c>
    </row>
    <row r="132" spans="1:9" x14ac:dyDescent="0.2">
      <c r="A132">
        <v>131</v>
      </c>
      <c r="B132">
        <v>3</v>
      </c>
      <c r="C132">
        <v>23</v>
      </c>
      <c r="D132">
        <v>1</v>
      </c>
      <c r="E132" t="s">
        <v>116</v>
      </c>
      <c r="F132" t="s">
        <v>107</v>
      </c>
      <c r="H132" s="2">
        <v>45772</v>
      </c>
      <c r="I132" s="3">
        <v>45772.75</v>
      </c>
    </row>
    <row r="133" spans="1:9" x14ac:dyDescent="0.2">
      <c r="A133">
        <v>132</v>
      </c>
      <c r="B133">
        <v>3</v>
      </c>
      <c r="C133">
        <v>9</v>
      </c>
      <c r="D133">
        <v>1</v>
      </c>
      <c r="E133" t="s">
        <v>116</v>
      </c>
      <c r="F133" t="s">
        <v>105</v>
      </c>
      <c r="H133" s="2">
        <v>45772</v>
      </c>
      <c r="I133" s="3">
        <v>45772.75</v>
      </c>
    </row>
    <row r="134" spans="1:9" x14ac:dyDescent="0.2">
      <c r="A134">
        <v>133</v>
      </c>
      <c r="B134">
        <v>3</v>
      </c>
      <c r="C134">
        <v>32</v>
      </c>
      <c r="D134">
        <v>1</v>
      </c>
      <c r="E134" t="s">
        <v>117</v>
      </c>
      <c r="F134" t="s">
        <v>108</v>
      </c>
      <c r="H134" s="2">
        <v>45772</v>
      </c>
      <c r="I134" s="3">
        <v>45772.625</v>
      </c>
    </row>
    <row r="135" spans="1:9" x14ac:dyDescent="0.2">
      <c r="A135">
        <v>134</v>
      </c>
      <c r="B135">
        <v>3</v>
      </c>
      <c r="C135">
        <v>8</v>
      </c>
      <c r="D135">
        <v>1</v>
      </c>
      <c r="E135" t="s">
        <v>114</v>
      </c>
      <c r="F135" t="s">
        <v>104</v>
      </c>
      <c r="H135" s="2">
        <v>45773</v>
      </c>
      <c r="I135" s="3">
        <v>45773.333333333343</v>
      </c>
    </row>
    <row r="136" spans="1:9" x14ac:dyDescent="0.2">
      <c r="A136">
        <v>135</v>
      </c>
      <c r="B136">
        <v>3</v>
      </c>
      <c r="C136">
        <v>16</v>
      </c>
      <c r="D136">
        <v>1</v>
      </c>
      <c r="E136" t="s">
        <v>114</v>
      </c>
      <c r="F136" t="s">
        <v>106</v>
      </c>
      <c r="H136" s="2">
        <v>45773</v>
      </c>
      <c r="I136" s="3">
        <v>45773.333333333343</v>
      </c>
    </row>
    <row r="137" spans="1:9" x14ac:dyDescent="0.2">
      <c r="A137">
        <v>136</v>
      </c>
      <c r="B137">
        <v>3</v>
      </c>
      <c r="C137">
        <v>32</v>
      </c>
      <c r="D137">
        <v>1</v>
      </c>
      <c r="E137" t="s">
        <v>115</v>
      </c>
      <c r="F137" t="s">
        <v>107</v>
      </c>
      <c r="H137" s="2">
        <v>45773</v>
      </c>
      <c r="I137" s="3">
        <v>45773.5</v>
      </c>
    </row>
    <row r="138" spans="1:9" x14ac:dyDescent="0.2">
      <c r="A138">
        <v>137</v>
      </c>
      <c r="B138">
        <v>3</v>
      </c>
      <c r="C138">
        <v>9</v>
      </c>
      <c r="D138">
        <v>1</v>
      </c>
      <c r="E138" t="s">
        <v>115</v>
      </c>
      <c r="F138" t="s">
        <v>105</v>
      </c>
      <c r="H138" s="2">
        <v>45773</v>
      </c>
      <c r="I138" s="3">
        <v>45773.5</v>
      </c>
    </row>
    <row r="139" spans="1:9" x14ac:dyDescent="0.2">
      <c r="A139">
        <v>138</v>
      </c>
      <c r="B139">
        <v>3</v>
      </c>
      <c r="C139">
        <v>24</v>
      </c>
      <c r="D139">
        <v>1</v>
      </c>
      <c r="E139" t="s">
        <v>116</v>
      </c>
      <c r="F139" t="s">
        <v>107</v>
      </c>
      <c r="H139" s="2">
        <v>45773</v>
      </c>
      <c r="I139" s="3">
        <v>45773.75</v>
      </c>
    </row>
    <row r="140" spans="1:9" x14ac:dyDescent="0.2">
      <c r="A140">
        <v>139</v>
      </c>
      <c r="B140">
        <v>3</v>
      </c>
      <c r="C140">
        <v>10</v>
      </c>
      <c r="D140">
        <v>1</v>
      </c>
      <c r="E140" t="s">
        <v>116</v>
      </c>
      <c r="F140" t="s">
        <v>105</v>
      </c>
      <c r="H140" s="2">
        <v>45773</v>
      </c>
      <c r="I140" s="3">
        <v>45773.75</v>
      </c>
    </row>
    <row r="141" spans="1:9" x14ac:dyDescent="0.2">
      <c r="A141">
        <v>140</v>
      </c>
      <c r="B141">
        <v>3</v>
      </c>
      <c r="C141">
        <v>33</v>
      </c>
      <c r="D141">
        <v>1</v>
      </c>
      <c r="E141" t="s">
        <v>117</v>
      </c>
      <c r="F141" t="s">
        <v>108</v>
      </c>
      <c r="H141" s="2">
        <v>45773</v>
      </c>
      <c r="I141" s="3">
        <v>45773.625</v>
      </c>
    </row>
    <row r="142" spans="1:9" x14ac:dyDescent="0.2">
      <c r="A142">
        <v>141</v>
      </c>
      <c r="B142">
        <v>3</v>
      </c>
      <c r="C142">
        <v>1</v>
      </c>
      <c r="D142">
        <v>1</v>
      </c>
      <c r="E142" t="s">
        <v>114</v>
      </c>
      <c r="F142" t="s">
        <v>104</v>
      </c>
      <c r="H142" s="2">
        <v>45774</v>
      </c>
      <c r="I142" s="3">
        <v>45774.333333333343</v>
      </c>
    </row>
    <row r="143" spans="1:9" x14ac:dyDescent="0.2">
      <c r="A143">
        <v>142</v>
      </c>
      <c r="B143">
        <v>3</v>
      </c>
      <c r="C143">
        <v>9</v>
      </c>
      <c r="D143">
        <v>1</v>
      </c>
      <c r="E143" t="s">
        <v>114</v>
      </c>
      <c r="F143" t="s">
        <v>106</v>
      </c>
      <c r="H143" s="2">
        <v>45774</v>
      </c>
      <c r="I143" s="3">
        <v>45774.333333333343</v>
      </c>
    </row>
    <row r="144" spans="1:9" x14ac:dyDescent="0.2">
      <c r="A144">
        <v>143</v>
      </c>
      <c r="B144">
        <v>3</v>
      </c>
      <c r="C144">
        <v>25</v>
      </c>
      <c r="D144">
        <v>1</v>
      </c>
      <c r="E144" t="s">
        <v>115</v>
      </c>
      <c r="F144" t="s">
        <v>107</v>
      </c>
      <c r="H144" s="2">
        <v>45774</v>
      </c>
      <c r="I144" s="3">
        <v>45774.5</v>
      </c>
    </row>
    <row r="145" spans="1:9" x14ac:dyDescent="0.2">
      <c r="A145">
        <v>144</v>
      </c>
      <c r="B145">
        <v>3</v>
      </c>
      <c r="C145">
        <v>10</v>
      </c>
      <c r="D145">
        <v>1</v>
      </c>
      <c r="E145" t="s">
        <v>115</v>
      </c>
      <c r="F145" t="s">
        <v>105</v>
      </c>
      <c r="H145" s="2">
        <v>45774</v>
      </c>
      <c r="I145" s="3">
        <v>45774.5</v>
      </c>
    </row>
    <row r="146" spans="1:9" x14ac:dyDescent="0.2">
      <c r="A146">
        <v>145</v>
      </c>
      <c r="B146">
        <v>3</v>
      </c>
      <c r="C146">
        <v>17</v>
      </c>
      <c r="D146">
        <v>1</v>
      </c>
      <c r="E146" t="s">
        <v>116</v>
      </c>
      <c r="F146" t="s">
        <v>107</v>
      </c>
      <c r="H146" s="2">
        <v>45774</v>
      </c>
      <c r="I146" s="3">
        <v>45774.75</v>
      </c>
    </row>
    <row r="147" spans="1:9" x14ac:dyDescent="0.2">
      <c r="A147">
        <v>146</v>
      </c>
      <c r="B147">
        <v>3</v>
      </c>
      <c r="C147">
        <v>11</v>
      </c>
      <c r="D147">
        <v>1</v>
      </c>
      <c r="E147" t="s">
        <v>116</v>
      </c>
      <c r="F147" t="s">
        <v>105</v>
      </c>
      <c r="H147" s="2">
        <v>45774</v>
      </c>
      <c r="I147" s="3">
        <v>45774.75</v>
      </c>
    </row>
    <row r="148" spans="1:9" x14ac:dyDescent="0.2">
      <c r="A148">
        <v>147</v>
      </c>
      <c r="B148">
        <v>3</v>
      </c>
      <c r="C148">
        <v>34</v>
      </c>
      <c r="D148">
        <v>1</v>
      </c>
      <c r="E148" t="s">
        <v>117</v>
      </c>
      <c r="F148" t="s">
        <v>108</v>
      </c>
      <c r="H148" s="2">
        <v>45774</v>
      </c>
      <c r="I148" s="3">
        <v>45774.625</v>
      </c>
    </row>
    <row r="149" spans="1:9" x14ac:dyDescent="0.2">
      <c r="A149">
        <v>148</v>
      </c>
      <c r="B149">
        <v>4</v>
      </c>
      <c r="C149">
        <v>1</v>
      </c>
      <c r="D149">
        <v>1</v>
      </c>
      <c r="E149" t="s">
        <v>114</v>
      </c>
      <c r="F149" t="s">
        <v>104</v>
      </c>
      <c r="H149" s="2">
        <v>45768</v>
      </c>
      <c r="I149" s="3">
        <v>45768.333333333343</v>
      </c>
    </row>
    <row r="150" spans="1:9" x14ac:dyDescent="0.2">
      <c r="A150">
        <v>149</v>
      </c>
      <c r="B150">
        <v>4</v>
      </c>
      <c r="C150">
        <v>9</v>
      </c>
      <c r="D150">
        <v>1</v>
      </c>
      <c r="E150" t="s">
        <v>114</v>
      </c>
      <c r="F150" t="s">
        <v>106</v>
      </c>
      <c r="H150" s="2">
        <v>45768</v>
      </c>
      <c r="I150" s="3">
        <v>45768.333333333343</v>
      </c>
    </row>
    <row r="151" spans="1:9" x14ac:dyDescent="0.2">
      <c r="A151">
        <v>150</v>
      </c>
      <c r="B151">
        <v>4</v>
      </c>
      <c r="C151">
        <v>25</v>
      </c>
      <c r="D151">
        <v>1</v>
      </c>
      <c r="E151" t="s">
        <v>115</v>
      </c>
      <c r="F151" t="s">
        <v>107</v>
      </c>
      <c r="H151" s="2">
        <v>45768</v>
      </c>
      <c r="I151" s="3">
        <v>45768.5</v>
      </c>
    </row>
    <row r="152" spans="1:9" x14ac:dyDescent="0.2">
      <c r="A152">
        <v>151</v>
      </c>
      <c r="B152">
        <v>4</v>
      </c>
      <c r="C152">
        <v>10</v>
      </c>
      <c r="D152">
        <v>1</v>
      </c>
      <c r="E152" t="s">
        <v>115</v>
      </c>
      <c r="F152" t="s">
        <v>105</v>
      </c>
      <c r="H152" s="2">
        <v>45768</v>
      </c>
      <c r="I152" s="3">
        <v>45768.5</v>
      </c>
    </row>
    <row r="153" spans="1:9" x14ac:dyDescent="0.2">
      <c r="A153">
        <v>152</v>
      </c>
      <c r="B153">
        <v>4</v>
      </c>
      <c r="C153">
        <v>17</v>
      </c>
      <c r="D153">
        <v>1</v>
      </c>
      <c r="E153" t="s">
        <v>116</v>
      </c>
      <c r="F153" t="s">
        <v>107</v>
      </c>
      <c r="H153" s="2">
        <v>45768</v>
      </c>
      <c r="I153" s="3">
        <v>45768.75</v>
      </c>
    </row>
    <row r="154" spans="1:9" x14ac:dyDescent="0.2">
      <c r="A154">
        <v>153</v>
      </c>
      <c r="B154">
        <v>4</v>
      </c>
      <c r="C154">
        <v>11</v>
      </c>
      <c r="D154">
        <v>1</v>
      </c>
      <c r="E154" t="s">
        <v>116</v>
      </c>
      <c r="F154" t="s">
        <v>105</v>
      </c>
      <c r="H154" s="2">
        <v>45768</v>
      </c>
      <c r="I154" s="3">
        <v>45768.75</v>
      </c>
    </row>
    <row r="155" spans="1:9" x14ac:dyDescent="0.2">
      <c r="A155">
        <v>154</v>
      </c>
      <c r="B155">
        <v>4</v>
      </c>
      <c r="C155">
        <v>33</v>
      </c>
      <c r="D155">
        <v>1</v>
      </c>
      <c r="E155" t="s">
        <v>117</v>
      </c>
      <c r="F155" t="s">
        <v>108</v>
      </c>
      <c r="H155" s="2">
        <v>45768</v>
      </c>
      <c r="I155" s="3">
        <v>45768.625</v>
      </c>
    </row>
    <row r="156" spans="1:9" x14ac:dyDescent="0.2">
      <c r="A156">
        <v>155</v>
      </c>
      <c r="B156">
        <v>4</v>
      </c>
      <c r="C156">
        <v>2</v>
      </c>
      <c r="D156">
        <v>1</v>
      </c>
      <c r="E156" t="s">
        <v>114</v>
      </c>
      <c r="F156" t="s">
        <v>104</v>
      </c>
      <c r="H156" s="2">
        <v>45769</v>
      </c>
      <c r="I156" s="3">
        <v>45769.333333333343</v>
      </c>
    </row>
    <row r="157" spans="1:9" x14ac:dyDescent="0.2">
      <c r="A157">
        <v>156</v>
      </c>
      <c r="B157">
        <v>4</v>
      </c>
      <c r="C157">
        <v>10</v>
      </c>
      <c r="D157">
        <v>1</v>
      </c>
      <c r="E157" t="s">
        <v>114</v>
      </c>
      <c r="F157" t="s">
        <v>106</v>
      </c>
      <c r="H157" s="2">
        <v>45769</v>
      </c>
      <c r="I157" s="3">
        <v>45769.333333333343</v>
      </c>
    </row>
    <row r="158" spans="1:9" x14ac:dyDescent="0.2">
      <c r="A158">
        <v>157</v>
      </c>
      <c r="B158">
        <v>4</v>
      </c>
      <c r="C158">
        <v>26</v>
      </c>
      <c r="D158">
        <v>1</v>
      </c>
      <c r="E158" t="s">
        <v>115</v>
      </c>
      <c r="F158" t="s">
        <v>107</v>
      </c>
      <c r="H158" s="2">
        <v>45769</v>
      </c>
      <c r="I158" s="3">
        <v>45769.5</v>
      </c>
    </row>
    <row r="159" spans="1:9" x14ac:dyDescent="0.2">
      <c r="A159">
        <v>158</v>
      </c>
      <c r="B159">
        <v>4</v>
      </c>
      <c r="C159">
        <v>11</v>
      </c>
      <c r="D159">
        <v>1</v>
      </c>
      <c r="E159" t="s">
        <v>115</v>
      </c>
      <c r="F159" t="s">
        <v>105</v>
      </c>
      <c r="H159" s="2">
        <v>45769</v>
      </c>
      <c r="I159" s="3">
        <v>45769.5</v>
      </c>
    </row>
    <row r="160" spans="1:9" x14ac:dyDescent="0.2">
      <c r="A160">
        <v>159</v>
      </c>
      <c r="B160">
        <v>4</v>
      </c>
      <c r="C160">
        <v>18</v>
      </c>
      <c r="D160">
        <v>1</v>
      </c>
      <c r="E160" t="s">
        <v>116</v>
      </c>
      <c r="F160" t="s">
        <v>107</v>
      </c>
      <c r="H160" s="2">
        <v>45769</v>
      </c>
      <c r="I160" s="3">
        <v>45769.75</v>
      </c>
    </row>
    <row r="161" spans="1:9" x14ac:dyDescent="0.2">
      <c r="A161">
        <v>160</v>
      </c>
      <c r="B161">
        <v>4</v>
      </c>
      <c r="C161">
        <v>12</v>
      </c>
      <c r="D161">
        <v>1</v>
      </c>
      <c r="E161" t="s">
        <v>116</v>
      </c>
      <c r="F161" t="s">
        <v>105</v>
      </c>
      <c r="H161" s="2">
        <v>45769</v>
      </c>
      <c r="I161" s="3">
        <v>45769.75</v>
      </c>
    </row>
    <row r="162" spans="1:9" x14ac:dyDescent="0.2">
      <c r="A162">
        <v>161</v>
      </c>
      <c r="B162">
        <v>4</v>
      </c>
      <c r="C162">
        <v>34</v>
      </c>
      <c r="D162">
        <v>1</v>
      </c>
      <c r="E162" t="s">
        <v>117</v>
      </c>
      <c r="F162" t="s">
        <v>108</v>
      </c>
      <c r="H162" s="2">
        <v>45769</v>
      </c>
      <c r="I162" s="3">
        <v>45769.625</v>
      </c>
    </row>
    <row r="163" spans="1:9" x14ac:dyDescent="0.2">
      <c r="A163">
        <v>162</v>
      </c>
      <c r="B163">
        <v>4</v>
      </c>
      <c r="C163">
        <v>3</v>
      </c>
      <c r="D163">
        <v>1</v>
      </c>
      <c r="E163" t="s">
        <v>114</v>
      </c>
      <c r="F163" t="s">
        <v>104</v>
      </c>
      <c r="H163" s="2">
        <v>45770</v>
      </c>
      <c r="I163" s="3">
        <v>45770.333333333343</v>
      </c>
    </row>
    <row r="164" spans="1:9" x14ac:dyDescent="0.2">
      <c r="A164">
        <v>163</v>
      </c>
      <c r="B164">
        <v>4</v>
      </c>
      <c r="C164">
        <v>11</v>
      </c>
      <c r="D164">
        <v>1</v>
      </c>
      <c r="E164" t="s">
        <v>114</v>
      </c>
      <c r="F164" t="s">
        <v>106</v>
      </c>
      <c r="H164" s="2">
        <v>45770</v>
      </c>
      <c r="I164" s="3">
        <v>45770.333333333343</v>
      </c>
    </row>
    <row r="165" spans="1:9" x14ac:dyDescent="0.2">
      <c r="A165">
        <v>164</v>
      </c>
      <c r="B165">
        <v>4</v>
      </c>
      <c r="C165">
        <v>27</v>
      </c>
      <c r="D165">
        <v>1</v>
      </c>
      <c r="E165" t="s">
        <v>115</v>
      </c>
      <c r="F165" t="s">
        <v>107</v>
      </c>
      <c r="H165" s="2">
        <v>45770</v>
      </c>
      <c r="I165" s="3">
        <v>45770.5</v>
      </c>
    </row>
    <row r="166" spans="1:9" x14ac:dyDescent="0.2">
      <c r="A166">
        <v>165</v>
      </c>
      <c r="B166">
        <v>4</v>
      </c>
      <c r="C166">
        <v>12</v>
      </c>
      <c r="D166">
        <v>1</v>
      </c>
      <c r="E166" t="s">
        <v>115</v>
      </c>
      <c r="F166" t="s">
        <v>105</v>
      </c>
      <c r="H166" s="2">
        <v>45770</v>
      </c>
      <c r="I166" s="3">
        <v>45770.5</v>
      </c>
    </row>
    <row r="167" spans="1:9" x14ac:dyDescent="0.2">
      <c r="A167">
        <v>166</v>
      </c>
      <c r="B167">
        <v>4</v>
      </c>
      <c r="C167">
        <v>19</v>
      </c>
      <c r="D167">
        <v>1</v>
      </c>
      <c r="E167" t="s">
        <v>116</v>
      </c>
      <c r="F167" t="s">
        <v>107</v>
      </c>
      <c r="H167" s="2">
        <v>45770</v>
      </c>
      <c r="I167" s="3">
        <v>45770.75</v>
      </c>
    </row>
    <row r="168" spans="1:9" x14ac:dyDescent="0.2">
      <c r="A168">
        <v>167</v>
      </c>
      <c r="B168">
        <v>4</v>
      </c>
      <c r="C168">
        <v>13</v>
      </c>
      <c r="D168">
        <v>1</v>
      </c>
      <c r="E168" t="s">
        <v>116</v>
      </c>
      <c r="F168" t="s">
        <v>105</v>
      </c>
      <c r="H168" s="2">
        <v>45770</v>
      </c>
      <c r="I168" s="3">
        <v>45770.75</v>
      </c>
    </row>
    <row r="169" spans="1:9" x14ac:dyDescent="0.2">
      <c r="A169">
        <v>168</v>
      </c>
      <c r="B169">
        <v>4</v>
      </c>
      <c r="C169">
        <v>35</v>
      </c>
      <c r="D169">
        <v>1</v>
      </c>
      <c r="E169" t="s">
        <v>117</v>
      </c>
      <c r="F169" t="s">
        <v>108</v>
      </c>
      <c r="H169" s="2">
        <v>45770</v>
      </c>
      <c r="I169" s="3">
        <v>45770.625</v>
      </c>
    </row>
    <row r="170" spans="1:9" x14ac:dyDescent="0.2">
      <c r="A170">
        <v>169</v>
      </c>
      <c r="B170">
        <v>4</v>
      </c>
      <c r="C170">
        <v>4</v>
      </c>
      <c r="D170">
        <v>1</v>
      </c>
      <c r="E170" t="s">
        <v>114</v>
      </c>
      <c r="F170" t="s">
        <v>104</v>
      </c>
      <c r="H170" s="2">
        <v>45771</v>
      </c>
      <c r="I170" s="3">
        <v>45771.333333333343</v>
      </c>
    </row>
    <row r="171" spans="1:9" x14ac:dyDescent="0.2">
      <c r="A171">
        <v>170</v>
      </c>
      <c r="B171">
        <v>4</v>
      </c>
      <c r="C171">
        <v>12</v>
      </c>
      <c r="D171">
        <v>1</v>
      </c>
      <c r="E171" t="s">
        <v>114</v>
      </c>
      <c r="F171" t="s">
        <v>106</v>
      </c>
      <c r="H171" s="2">
        <v>45771</v>
      </c>
      <c r="I171" s="3">
        <v>45771.333333333343</v>
      </c>
    </row>
    <row r="172" spans="1:9" x14ac:dyDescent="0.2">
      <c r="A172">
        <v>171</v>
      </c>
      <c r="B172">
        <v>4</v>
      </c>
      <c r="C172">
        <v>28</v>
      </c>
      <c r="D172">
        <v>1</v>
      </c>
      <c r="E172" t="s">
        <v>115</v>
      </c>
      <c r="F172" t="s">
        <v>107</v>
      </c>
      <c r="H172" s="2">
        <v>45771</v>
      </c>
      <c r="I172" s="3">
        <v>45771.5</v>
      </c>
    </row>
    <row r="173" spans="1:9" x14ac:dyDescent="0.2">
      <c r="A173">
        <v>172</v>
      </c>
      <c r="B173">
        <v>4</v>
      </c>
      <c r="C173">
        <v>13</v>
      </c>
      <c r="D173">
        <v>1</v>
      </c>
      <c r="E173" t="s">
        <v>115</v>
      </c>
      <c r="F173" t="s">
        <v>105</v>
      </c>
      <c r="H173" s="2">
        <v>45771</v>
      </c>
      <c r="I173" s="3">
        <v>45771.5</v>
      </c>
    </row>
    <row r="174" spans="1:9" x14ac:dyDescent="0.2">
      <c r="A174">
        <v>173</v>
      </c>
      <c r="B174">
        <v>4</v>
      </c>
      <c r="C174">
        <v>20</v>
      </c>
      <c r="D174">
        <v>1</v>
      </c>
      <c r="E174" t="s">
        <v>116</v>
      </c>
      <c r="F174" t="s">
        <v>107</v>
      </c>
      <c r="H174" s="2">
        <v>45771</v>
      </c>
      <c r="I174" s="3">
        <v>45771.75</v>
      </c>
    </row>
    <row r="175" spans="1:9" x14ac:dyDescent="0.2">
      <c r="A175">
        <v>174</v>
      </c>
      <c r="B175">
        <v>4</v>
      </c>
      <c r="C175">
        <v>14</v>
      </c>
      <c r="D175">
        <v>1</v>
      </c>
      <c r="E175" t="s">
        <v>116</v>
      </c>
      <c r="F175" t="s">
        <v>105</v>
      </c>
      <c r="H175" s="2">
        <v>45771</v>
      </c>
      <c r="I175" s="3">
        <v>45771.75</v>
      </c>
    </row>
    <row r="176" spans="1:9" x14ac:dyDescent="0.2">
      <c r="A176">
        <v>175</v>
      </c>
      <c r="B176">
        <v>4</v>
      </c>
      <c r="C176">
        <v>36</v>
      </c>
      <c r="D176">
        <v>1</v>
      </c>
      <c r="E176" t="s">
        <v>117</v>
      </c>
      <c r="F176" t="s">
        <v>108</v>
      </c>
      <c r="H176" s="2">
        <v>45771</v>
      </c>
      <c r="I176" s="3">
        <v>45771.625</v>
      </c>
    </row>
    <row r="177" spans="1:9" x14ac:dyDescent="0.2">
      <c r="A177">
        <v>176</v>
      </c>
      <c r="B177">
        <v>4</v>
      </c>
      <c r="C177">
        <v>5</v>
      </c>
      <c r="D177">
        <v>1</v>
      </c>
      <c r="E177" t="s">
        <v>114</v>
      </c>
      <c r="F177" t="s">
        <v>104</v>
      </c>
      <c r="H177" s="2">
        <v>45772</v>
      </c>
      <c r="I177" s="3">
        <v>45772.333333333343</v>
      </c>
    </row>
    <row r="178" spans="1:9" x14ac:dyDescent="0.2">
      <c r="A178">
        <v>177</v>
      </c>
      <c r="B178">
        <v>4</v>
      </c>
      <c r="C178">
        <v>13</v>
      </c>
      <c r="D178">
        <v>1</v>
      </c>
      <c r="E178" t="s">
        <v>114</v>
      </c>
      <c r="F178" t="s">
        <v>106</v>
      </c>
      <c r="H178" s="2">
        <v>45772</v>
      </c>
      <c r="I178" s="3">
        <v>45772.333333333343</v>
      </c>
    </row>
    <row r="179" spans="1:9" x14ac:dyDescent="0.2">
      <c r="A179">
        <v>178</v>
      </c>
      <c r="B179">
        <v>4</v>
      </c>
      <c r="C179">
        <v>29</v>
      </c>
      <c r="D179">
        <v>1</v>
      </c>
      <c r="E179" t="s">
        <v>115</v>
      </c>
      <c r="F179" t="s">
        <v>107</v>
      </c>
      <c r="H179" s="2">
        <v>45772</v>
      </c>
      <c r="I179" s="3">
        <v>45772.5</v>
      </c>
    </row>
    <row r="180" spans="1:9" x14ac:dyDescent="0.2">
      <c r="A180">
        <v>179</v>
      </c>
      <c r="B180">
        <v>4</v>
      </c>
      <c r="C180">
        <v>14</v>
      </c>
      <c r="D180">
        <v>1</v>
      </c>
      <c r="E180" t="s">
        <v>115</v>
      </c>
      <c r="F180" t="s">
        <v>105</v>
      </c>
      <c r="H180" s="2">
        <v>45772</v>
      </c>
      <c r="I180" s="3">
        <v>45772.5</v>
      </c>
    </row>
    <row r="181" spans="1:9" x14ac:dyDescent="0.2">
      <c r="A181">
        <v>180</v>
      </c>
      <c r="B181">
        <v>4</v>
      </c>
      <c r="C181">
        <v>21</v>
      </c>
      <c r="D181">
        <v>1</v>
      </c>
      <c r="E181" t="s">
        <v>116</v>
      </c>
      <c r="F181" t="s">
        <v>107</v>
      </c>
      <c r="H181" s="2">
        <v>45772</v>
      </c>
      <c r="I181" s="3">
        <v>45772.75</v>
      </c>
    </row>
    <row r="182" spans="1:9" x14ac:dyDescent="0.2">
      <c r="A182">
        <v>181</v>
      </c>
      <c r="B182">
        <v>4</v>
      </c>
      <c r="C182">
        <v>15</v>
      </c>
      <c r="D182">
        <v>1</v>
      </c>
      <c r="E182" t="s">
        <v>116</v>
      </c>
      <c r="F182" t="s">
        <v>105</v>
      </c>
      <c r="H182" s="2">
        <v>45772</v>
      </c>
      <c r="I182" s="3">
        <v>45772.75</v>
      </c>
    </row>
    <row r="183" spans="1:9" x14ac:dyDescent="0.2">
      <c r="A183">
        <v>182</v>
      </c>
      <c r="B183">
        <v>4</v>
      </c>
      <c r="C183">
        <v>37</v>
      </c>
      <c r="D183">
        <v>1</v>
      </c>
      <c r="E183" t="s">
        <v>117</v>
      </c>
      <c r="F183" t="s">
        <v>108</v>
      </c>
      <c r="H183" s="2">
        <v>45772</v>
      </c>
      <c r="I183" s="3">
        <v>45772.625</v>
      </c>
    </row>
    <row r="184" spans="1:9" x14ac:dyDescent="0.2">
      <c r="A184">
        <v>183</v>
      </c>
      <c r="B184">
        <v>4</v>
      </c>
      <c r="C184">
        <v>6</v>
      </c>
      <c r="D184">
        <v>1</v>
      </c>
      <c r="E184" t="s">
        <v>114</v>
      </c>
      <c r="F184" t="s">
        <v>104</v>
      </c>
      <c r="H184" s="2">
        <v>45773</v>
      </c>
      <c r="I184" s="3">
        <v>45773.333333333343</v>
      </c>
    </row>
    <row r="185" spans="1:9" x14ac:dyDescent="0.2">
      <c r="A185">
        <v>184</v>
      </c>
      <c r="B185">
        <v>4</v>
      </c>
      <c r="C185">
        <v>14</v>
      </c>
      <c r="D185">
        <v>1</v>
      </c>
      <c r="E185" t="s">
        <v>114</v>
      </c>
      <c r="F185" t="s">
        <v>106</v>
      </c>
      <c r="H185" s="2">
        <v>45773</v>
      </c>
      <c r="I185" s="3">
        <v>45773.333333333343</v>
      </c>
    </row>
    <row r="186" spans="1:9" x14ac:dyDescent="0.2">
      <c r="A186">
        <v>185</v>
      </c>
      <c r="B186">
        <v>4</v>
      </c>
      <c r="C186">
        <v>30</v>
      </c>
      <c r="D186">
        <v>1</v>
      </c>
      <c r="E186" t="s">
        <v>115</v>
      </c>
      <c r="F186" t="s">
        <v>107</v>
      </c>
      <c r="H186" s="2">
        <v>45773</v>
      </c>
      <c r="I186" s="3">
        <v>45773.5</v>
      </c>
    </row>
    <row r="187" spans="1:9" x14ac:dyDescent="0.2">
      <c r="A187">
        <v>186</v>
      </c>
      <c r="B187">
        <v>4</v>
      </c>
      <c r="C187">
        <v>15</v>
      </c>
      <c r="D187">
        <v>1</v>
      </c>
      <c r="E187" t="s">
        <v>115</v>
      </c>
      <c r="F187" t="s">
        <v>105</v>
      </c>
      <c r="H187" s="2">
        <v>45773</v>
      </c>
      <c r="I187" s="3">
        <v>45773.5</v>
      </c>
    </row>
    <row r="188" spans="1:9" x14ac:dyDescent="0.2">
      <c r="A188">
        <v>187</v>
      </c>
      <c r="B188">
        <v>4</v>
      </c>
      <c r="C188">
        <v>22</v>
      </c>
      <c r="D188">
        <v>1</v>
      </c>
      <c r="E188" t="s">
        <v>116</v>
      </c>
      <c r="F188" t="s">
        <v>107</v>
      </c>
      <c r="H188" s="2">
        <v>45773</v>
      </c>
      <c r="I188" s="3">
        <v>45773.75</v>
      </c>
    </row>
    <row r="189" spans="1:9" x14ac:dyDescent="0.2">
      <c r="A189">
        <v>188</v>
      </c>
      <c r="B189">
        <v>4</v>
      </c>
      <c r="C189">
        <v>16</v>
      </c>
      <c r="D189">
        <v>1</v>
      </c>
      <c r="E189" t="s">
        <v>116</v>
      </c>
      <c r="F189" t="s">
        <v>105</v>
      </c>
      <c r="H189" s="2">
        <v>45773</v>
      </c>
      <c r="I189" s="3">
        <v>45773.75</v>
      </c>
    </row>
    <row r="190" spans="1:9" x14ac:dyDescent="0.2">
      <c r="A190">
        <v>189</v>
      </c>
      <c r="B190">
        <v>4</v>
      </c>
      <c r="C190">
        <v>38</v>
      </c>
      <c r="D190">
        <v>1</v>
      </c>
      <c r="E190" t="s">
        <v>117</v>
      </c>
      <c r="F190" t="s">
        <v>108</v>
      </c>
      <c r="H190" s="2">
        <v>45773</v>
      </c>
      <c r="I190" s="3">
        <v>45773.625</v>
      </c>
    </row>
    <row r="191" spans="1:9" x14ac:dyDescent="0.2">
      <c r="A191">
        <v>190</v>
      </c>
      <c r="B191">
        <v>4</v>
      </c>
      <c r="C191">
        <v>7</v>
      </c>
      <c r="D191">
        <v>1</v>
      </c>
      <c r="E191" t="s">
        <v>114</v>
      </c>
      <c r="F191" t="s">
        <v>104</v>
      </c>
      <c r="H191" s="2">
        <v>45774</v>
      </c>
      <c r="I191" s="3">
        <v>45774.333333333343</v>
      </c>
    </row>
    <row r="192" spans="1:9" x14ac:dyDescent="0.2">
      <c r="A192">
        <v>191</v>
      </c>
      <c r="B192">
        <v>4</v>
      </c>
      <c r="C192">
        <v>15</v>
      </c>
      <c r="D192">
        <v>1</v>
      </c>
      <c r="E192" t="s">
        <v>114</v>
      </c>
      <c r="F192" t="s">
        <v>106</v>
      </c>
      <c r="H192" s="2">
        <v>45774</v>
      </c>
      <c r="I192" s="3">
        <v>45774.333333333343</v>
      </c>
    </row>
    <row r="193" spans="1:9" x14ac:dyDescent="0.2">
      <c r="A193">
        <v>192</v>
      </c>
      <c r="B193">
        <v>4</v>
      </c>
      <c r="C193">
        <v>31</v>
      </c>
      <c r="D193">
        <v>1</v>
      </c>
      <c r="E193" t="s">
        <v>115</v>
      </c>
      <c r="F193" t="s">
        <v>107</v>
      </c>
      <c r="H193" s="2">
        <v>45774</v>
      </c>
      <c r="I193" s="3">
        <v>45774.5</v>
      </c>
    </row>
    <row r="194" spans="1:9" x14ac:dyDescent="0.2">
      <c r="A194">
        <v>193</v>
      </c>
      <c r="B194">
        <v>4</v>
      </c>
      <c r="C194">
        <v>16</v>
      </c>
      <c r="D194">
        <v>1</v>
      </c>
      <c r="E194" t="s">
        <v>115</v>
      </c>
      <c r="F194" t="s">
        <v>105</v>
      </c>
      <c r="H194" s="2">
        <v>45774</v>
      </c>
      <c r="I194" s="3">
        <v>45774.5</v>
      </c>
    </row>
    <row r="195" spans="1:9" x14ac:dyDescent="0.2">
      <c r="A195">
        <v>194</v>
      </c>
      <c r="B195">
        <v>4</v>
      </c>
      <c r="C195">
        <v>23</v>
      </c>
      <c r="D195">
        <v>1</v>
      </c>
      <c r="E195" t="s">
        <v>116</v>
      </c>
      <c r="F195" t="s">
        <v>107</v>
      </c>
      <c r="H195" s="2">
        <v>45774</v>
      </c>
      <c r="I195" s="3">
        <v>45774.75</v>
      </c>
    </row>
    <row r="196" spans="1:9" x14ac:dyDescent="0.2">
      <c r="A196">
        <v>195</v>
      </c>
      <c r="B196">
        <v>4</v>
      </c>
      <c r="C196">
        <v>9</v>
      </c>
      <c r="D196">
        <v>1</v>
      </c>
      <c r="E196" t="s">
        <v>116</v>
      </c>
      <c r="F196" t="s">
        <v>105</v>
      </c>
      <c r="H196" s="2">
        <v>45774</v>
      </c>
      <c r="I196" s="3">
        <v>45774.75</v>
      </c>
    </row>
    <row r="197" spans="1:9" x14ac:dyDescent="0.2">
      <c r="A197">
        <v>196</v>
      </c>
      <c r="B197">
        <v>4</v>
      </c>
      <c r="C197">
        <v>32</v>
      </c>
      <c r="D197">
        <v>1</v>
      </c>
      <c r="E197" t="s">
        <v>117</v>
      </c>
      <c r="F197" t="s">
        <v>108</v>
      </c>
      <c r="H197" s="2">
        <v>45774</v>
      </c>
      <c r="I197" s="3">
        <v>45774.625</v>
      </c>
    </row>
    <row r="198" spans="1:9" x14ac:dyDescent="0.2">
      <c r="A198">
        <v>197</v>
      </c>
      <c r="B198">
        <v>5</v>
      </c>
      <c r="C198">
        <v>1</v>
      </c>
      <c r="D198">
        <v>1</v>
      </c>
      <c r="E198" t="s">
        <v>114</v>
      </c>
      <c r="F198" t="s">
        <v>104</v>
      </c>
      <c r="H198" s="2">
        <v>45768</v>
      </c>
      <c r="I198" s="3">
        <v>45768.333333333343</v>
      </c>
    </row>
    <row r="199" spans="1:9" x14ac:dyDescent="0.2">
      <c r="A199">
        <v>198</v>
      </c>
      <c r="B199">
        <v>5</v>
      </c>
      <c r="C199">
        <v>9</v>
      </c>
      <c r="D199">
        <v>1</v>
      </c>
      <c r="E199" t="s">
        <v>114</v>
      </c>
      <c r="F199" t="s">
        <v>106</v>
      </c>
      <c r="H199" s="2">
        <v>45768</v>
      </c>
      <c r="I199" s="3">
        <v>45768.333333333343</v>
      </c>
    </row>
    <row r="200" spans="1:9" x14ac:dyDescent="0.2">
      <c r="A200">
        <v>199</v>
      </c>
      <c r="B200">
        <v>5</v>
      </c>
      <c r="C200">
        <v>25</v>
      </c>
      <c r="D200">
        <v>1</v>
      </c>
      <c r="E200" t="s">
        <v>115</v>
      </c>
      <c r="F200" t="s">
        <v>107</v>
      </c>
      <c r="H200" s="2">
        <v>45768</v>
      </c>
      <c r="I200" s="3">
        <v>45768.5</v>
      </c>
    </row>
    <row r="201" spans="1:9" x14ac:dyDescent="0.2">
      <c r="A201">
        <v>200</v>
      </c>
      <c r="B201">
        <v>5</v>
      </c>
      <c r="C201">
        <v>10</v>
      </c>
      <c r="D201">
        <v>1</v>
      </c>
      <c r="E201" t="s">
        <v>115</v>
      </c>
      <c r="F201" t="s">
        <v>105</v>
      </c>
      <c r="H201" s="2">
        <v>45768</v>
      </c>
      <c r="I201" s="3">
        <v>45768.5</v>
      </c>
    </row>
    <row r="202" spans="1:9" x14ac:dyDescent="0.2">
      <c r="A202">
        <v>201</v>
      </c>
      <c r="B202">
        <v>5</v>
      </c>
      <c r="C202">
        <v>17</v>
      </c>
      <c r="D202">
        <v>1</v>
      </c>
      <c r="E202" t="s">
        <v>116</v>
      </c>
      <c r="F202" t="s">
        <v>107</v>
      </c>
      <c r="H202" s="2">
        <v>45768</v>
      </c>
      <c r="I202" s="3">
        <v>45768.75</v>
      </c>
    </row>
    <row r="203" spans="1:9" x14ac:dyDescent="0.2">
      <c r="A203">
        <v>202</v>
      </c>
      <c r="B203">
        <v>5</v>
      </c>
      <c r="C203">
        <v>11</v>
      </c>
      <c r="D203">
        <v>1</v>
      </c>
      <c r="E203" t="s">
        <v>116</v>
      </c>
      <c r="F203" t="s">
        <v>105</v>
      </c>
      <c r="H203" s="2">
        <v>45768</v>
      </c>
      <c r="I203" s="3">
        <v>45768.75</v>
      </c>
    </row>
    <row r="204" spans="1:9" x14ac:dyDescent="0.2">
      <c r="A204">
        <v>203</v>
      </c>
      <c r="B204">
        <v>5</v>
      </c>
      <c r="C204">
        <v>33</v>
      </c>
      <c r="D204">
        <v>1</v>
      </c>
      <c r="E204" t="s">
        <v>117</v>
      </c>
      <c r="F204" t="s">
        <v>108</v>
      </c>
      <c r="H204" s="2">
        <v>45768</v>
      </c>
      <c r="I204" s="3">
        <v>45768.625</v>
      </c>
    </row>
    <row r="205" spans="1:9" x14ac:dyDescent="0.2">
      <c r="A205">
        <v>204</v>
      </c>
      <c r="B205">
        <v>5</v>
      </c>
      <c r="C205">
        <v>2</v>
      </c>
      <c r="D205">
        <v>1</v>
      </c>
      <c r="E205" t="s">
        <v>114</v>
      </c>
      <c r="F205" t="s">
        <v>104</v>
      </c>
      <c r="H205" s="2">
        <v>45769</v>
      </c>
      <c r="I205" s="3">
        <v>45769.333333333343</v>
      </c>
    </row>
    <row r="206" spans="1:9" x14ac:dyDescent="0.2">
      <c r="A206">
        <v>205</v>
      </c>
      <c r="B206">
        <v>5</v>
      </c>
      <c r="C206">
        <v>10</v>
      </c>
      <c r="D206">
        <v>1</v>
      </c>
      <c r="E206" t="s">
        <v>114</v>
      </c>
      <c r="F206" t="s">
        <v>106</v>
      </c>
      <c r="H206" s="2">
        <v>45769</v>
      </c>
      <c r="I206" s="3">
        <v>45769.333333333343</v>
      </c>
    </row>
    <row r="207" spans="1:9" x14ac:dyDescent="0.2">
      <c r="A207">
        <v>206</v>
      </c>
      <c r="B207">
        <v>5</v>
      </c>
      <c r="C207">
        <v>26</v>
      </c>
      <c r="D207">
        <v>1</v>
      </c>
      <c r="E207" t="s">
        <v>115</v>
      </c>
      <c r="F207" t="s">
        <v>107</v>
      </c>
      <c r="H207" s="2">
        <v>45769</v>
      </c>
      <c r="I207" s="3">
        <v>45769.5</v>
      </c>
    </row>
    <row r="208" spans="1:9" x14ac:dyDescent="0.2">
      <c r="A208">
        <v>207</v>
      </c>
      <c r="B208">
        <v>5</v>
      </c>
      <c r="C208">
        <v>11</v>
      </c>
      <c r="D208">
        <v>1</v>
      </c>
      <c r="E208" t="s">
        <v>115</v>
      </c>
      <c r="F208" t="s">
        <v>105</v>
      </c>
      <c r="H208" s="2">
        <v>45769</v>
      </c>
      <c r="I208" s="3">
        <v>45769.5</v>
      </c>
    </row>
    <row r="209" spans="1:9" x14ac:dyDescent="0.2">
      <c r="A209">
        <v>208</v>
      </c>
      <c r="B209">
        <v>5</v>
      </c>
      <c r="C209">
        <v>18</v>
      </c>
      <c r="D209">
        <v>1</v>
      </c>
      <c r="E209" t="s">
        <v>116</v>
      </c>
      <c r="F209" t="s">
        <v>107</v>
      </c>
      <c r="H209" s="2">
        <v>45769</v>
      </c>
      <c r="I209" s="3">
        <v>45769.75</v>
      </c>
    </row>
    <row r="210" spans="1:9" x14ac:dyDescent="0.2">
      <c r="A210">
        <v>209</v>
      </c>
      <c r="B210">
        <v>5</v>
      </c>
      <c r="C210">
        <v>12</v>
      </c>
      <c r="D210">
        <v>1</v>
      </c>
      <c r="E210" t="s">
        <v>116</v>
      </c>
      <c r="F210" t="s">
        <v>105</v>
      </c>
      <c r="H210" s="2">
        <v>45769</v>
      </c>
      <c r="I210" s="3">
        <v>45769.75</v>
      </c>
    </row>
    <row r="211" spans="1:9" x14ac:dyDescent="0.2">
      <c r="A211">
        <v>210</v>
      </c>
      <c r="B211">
        <v>5</v>
      </c>
      <c r="C211">
        <v>34</v>
      </c>
      <c r="D211">
        <v>1</v>
      </c>
      <c r="E211" t="s">
        <v>117</v>
      </c>
      <c r="F211" t="s">
        <v>108</v>
      </c>
      <c r="H211" s="2">
        <v>45769</v>
      </c>
      <c r="I211" s="3">
        <v>45769.625</v>
      </c>
    </row>
    <row r="212" spans="1:9" x14ac:dyDescent="0.2">
      <c r="A212">
        <v>211</v>
      </c>
      <c r="B212">
        <v>5</v>
      </c>
      <c r="C212">
        <v>3</v>
      </c>
      <c r="D212">
        <v>1</v>
      </c>
      <c r="E212" t="s">
        <v>114</v>
      </c>
      <c r="F212" t="s">
        <v>104</v>
      </c>
      <c r="H212" s="2">
        <v>45770</v>
      </c>
      <c r="I212" s="3">
        <v>45770.333333333343</v>
      </c>
    </row>
    <row r="213" spans="1:9" x14ac:dyDescent="0.2">
      <c r="A213">
        <v>212</v>
      </c>
      <c r="B213">
        <v>5</v>
      </c>
      <c r="C213">
        <v>11</v>
      </c>
      <c r="D213">
        <v>1</v>
      </c>
      <c r="E213" t="s">
        <v>114</v>
      </c>
      <c r="F213" t="s">
        <v>106</v>
      </c>
      <c r="H213" s="2">
        <v>45770</v>
      </c>
      <c r="I213" s="3">
        <v>45770.333333333343</v>
      </c>
    </row>
    <row r="214" spans="1:9" x14ac:dyDescent="0.2">
      <c r="A214">
        <v>213</v>
      </c>
      <c r="B214">
        <v>5</v>
      </c>
      <c r="C214">
        <v>27</v>
      </c>
      <c r="D214">
        <v>1</v>
      </c>
      <c r="E214" t="s">
        <v>115</v>
      </c>
      <c r="F214" t="s">
        <v>107</v>
      </c>
      <c r="H214" s="2">
        <v>45770</v>
      </c>
      <c r="I214" s="3">
        <v>45770.5</v>
      </c>
    </row>
    <row r="215" spans="1:9" x14ac:dyDescent="0.2">
      <c r="A215">
        <v>214</v>
      </c>
      <c r="B215">
        <v>5</v>
      </c>
      <c r="C215">
        <v>12</v>
      </c>
      <c r="D215">
        <v>1</v>
      </c>
      <c r="E215" t="s">
        <v>115</v>
      </c>
      <c r="F215" t="s">
        <v>105</v>
      </c>
      <c r="H215" s="2">
        <v>45770</v>
      </c>
      <c r="I215" s="3">
        <v>45770.5</v>
      </c>
    </row>
    <row r="216" spans="1:9" x14ac:dyDescent="0.2">
      <c r="A216">
        <v>215</v>
      </c>
      <c r="B216">
        <v>5</v>
      </c>
      <c r="C216">
        <v>19</v>
      </c>
      <c r="D216">
        <v>1</v>
      </c>
      <c r="E216" t="s">
        <v>116</v>
      </c>
      <c r="F216" t="s">
        <v>107</v>
      </c>
      <c r="H216" s="2">
        <v>45770</v>
      </c>
      <c r="I216" s="3">
        <v>45770.75</v>
      </c>
    </row>
    <row r="217" spans="1:9" x14ac:dyDescent="0.2">
      <c r="A217">
        <v>216</v>
      </c>
      <c r="B217">
        <v>5</v>
      </c>
      <c r="C217">
        <v>13</v>
      </c>
      <c r="D217">
        <v>1</v>
      </c>
      <c r="E217" t="s">
        <v>116</v>
      </c>
      <c r="F217" t="s">
        <v>105</v>
      </c>
      <c r="H217" s="2">
        <v>45770</v>
      </c>
      <c r="I217" s="3">
        <v>45770.75</v>
      </c>
    </row>
    <row r="218" spans="1:9" x14ac:dyDescent="0.2">
      <c r="A218">
        <v>217</v>
      </c>
      <c r="B218">
        <v>5</v>
      </c>
      <c r="C218">
        <v>35</v>
      </c>
      <c r="D218">
        <v>1</v>
      </c>
      <c r="E218" t="s">
        <v>117</v>
      </c>
      <c r="F218" t="s">
        <v>108</v>
      </c>
      <c r="H218" s="2">
        <v>45770</v>
      </c>
      <c r="I218" s="3">
        <v>45770.625</v>
      </c>
    </row>
    <row r="219" spans="1:9" x14ac:dyDescent="0.2">
      <c r="A219">
        <v>218</v>
      </c>
      <c r="B219">
        <v>5</v>
      </c>
      <c r="C219">
        <v>4</v>
      </c>
      <c r="D219">
        <v>1</v>
      </c>
      <c r="E219" t="s">
        <v>114</v>
      </c>
      <c r="F219" t="s">
        <v>104</v>
      </c>
      <c r="H219" s="2">
        <v>45771</v>
      </c>
      <c r="I219" s="3">
        <v>45771.333333333343</v>
      </c>
    </row>
    <row r="220" spans="1:9" x14ac:dyDescent="0.2">
      <c r="A220">
        <v>219</v>
      </c>
      <c r="B220">
        <v>5</v>
      </c>
      <c r="C220">
        <v>12</v>
      </c>
      <c r="D220">
        <v>1</v>
      </c>
      <c r="E220" t="s">
        <v>114</v>
      </c>
      <c r="F220" t="s">
        <v>106</v>
      </c>
      <c r="H220" s="2">
        <v>45771</v>
      </c>
      <c r="I220" s="3">
        <v>45771.333333333343</v>
      </c>
    </row>
    <row r="221" spans="1:9" x14ac:dyDescent="0.2">
      <c r="A221">
        <v>220</v>
      </c>
      <c r="B221">
        <v>5</v>
      </c>
      <c r="C221">
        <v>28</v>
      </c>
      <c r="D221">
        <v>1</v>
      </c>
      <c r="E221" t="s">
        <v>115</v>
      </c>
      <c r="F221" t="s">
        <v>107</v>
      </c>
      <c r="H221" s="2">
        <v>45771</v>
      </c>
      <c r="I221" s="3">
        <v>45771.5</v>
      </c>
    </row>
    <row r="222" spans="1:9" x14ac:dyDescent="0.2">
      <c r="A222">
        <v>221</v>
      </c>
      <c r="B222">
        <v>5</v>
      </c>
      <c r="C222">
        <v>13</v>
      </c>
      <c r="D222">
        <v>1</v>
      </c>
      <c r="E222" t="s">
        <v>115</v>
      </c>
      <c r="F222" t="s">
        <v>105</v>
      </c>
      <c r="H222" s="2">
        <v>45771</v>
      </c>
      <c r="I222" s="3">
        <v>45771.5</v>
      </c>
    </row>
    <row r="223" spans="1:9" x14ac:dyDescent="0.2">
      <c r="A223">
        <v>222</v>
      </c>
      <c r="B223">
        <v>5</v>
      </c>
      <c r="C223">
        <v>20</v>
      </c>
      <c r="D223">
        <v>1</v>
      </c>
      <c r="E223" t="s">
        <v>116</v>
      </c>
      <c r="F223" t="s">
        <v>107</v>
      </c>
      <c r="H223" s="2">
        <v>45771</v>
      </c>
      <c r="I223" s="3">
        <v>45771.75</v>
      </c>
    </row>
    <row r="224" spans="1:9" x14ac:dyDescent="0.2">
      <c r="A224">
        <v>223</v>
      </c>
      <c r="B224">
        <v>5</v>
      </c>
      <c r="C224">
        <v>14</v>
      </c>
      <c r="D224">
        <v>1</v>
      </c>
      <c r="E224" t="s">
        <v>116</v>
      </c>
      <c r="F224" t="s">
        <v>105</v>
      </c>
      <c r="H224" s="2">
        <v>45771</v>
      </c>
      <c r="I224" s="3">
        <v>45771.75</v>
      </c>
    </row>
    <row r="225" spans="1:9" x14ac:dyDescent="0.2">
      <c r="A225">
        <v>224</v>
      </c>
      <c r="B225">
        <v>5</v>
      </c>
      <c r="C225">
        <v>36</v>
      </c>
      <c r="D225">
        <v>1</v>
      </c>
      <c r="E225" t="s">
        <v>117</v>
      </c>
      <c r="F225" t="s">
        <v>108</v>
      </c>
      <c r="H225" s="2">
        <v>45771</v>
      </c>
      <c r="I225" s="3">
        <v>45771.625</v>
      </c>
    </row>
    <row r="226" spans="1:9" x14ac:dyDescent="0.2">
      <c r="A226">
        <v>225</v>
      </c>
      <c r="B226">
        <v>5</v>
      </c>
      <c r="C226">
        <v>5</v>
      </c>
      <c r="D226">
        <v>1</v>
      </c>
      <c r="E226" t="s">
        <v>114</v>
      </c>
      <c r="F226" t="s">
        <v>104</v>
      </c>
      <c r="H226" s="2">
        <v>45772</v>
      </c>
      <c r="I226" s="3">
        <v>45772.333333333343</v>
      </c>
    </row>
    <row r="227" spans="1:9" x14ac:dyDescent="0.2">
      <c r="A227">
        <v>226</v>
      </c>
      <c r="B227">
        <v>5</v>
      </c>
      <c r="C227">
        <v>13</v>
      </c>
      <c r="D227">
        <v>1</v>
      </c>
      <c r="E227" t="s">
        <v>114</v>
      </c>
      <c r="F227" t="s">
        <v>106</v>
      </c>
      <c r="H227" s="2">
        <v>45772</v>
      </c>
      <c r="I227" s="3">
        <v>45772.333333333343</v>
      </c>
    </row>
    <row r="228" spans="1:9" x14ac:dyDescent="0.2">
      <c r="A228">
        <v>227</v>
      </c>
      <c r="B228">
        <v>5</v>
      </c>
      <c r="C228">
        <v>29</v>
      </c>
      <c r="D228">
        <v>1</v>
      </c>
      <c r="E228" t="s">
        <v>115</v>
      </c>
      <c r="F228" t="s">
        <v>107</v>
      </c>
      <c r="H228" s="2">
        <v>45772</v>
      </c>
      <c r="I228" s="3">
        <v>45772.5</v>
      </c>
    </row>
    <row r="229" spans="1:9" x14ac:dyDescent="0.2">
      <c r="A229">
        <v>228</v>
      </c>
      <c r="B229">
        <v>5</v>
      </c>
      <c r="C229">
        <v>14</v>
      </c>
      <c r="D229">
        <v>1</v>
      </c>
      <c r="E229" t="s">
        <v>115</v>
      </c>
      <c r="F229" t="s">
        <v>105</v>
      </c>
      <c r="H229" s="2">
        <v>45772</v>
      </c>
      <c r="I229" s="3">
        <v>45772.5</v>
      </c>
    </row>
    <row r="230" spans="1:9" x14ac:dyDescent="0.2">
      <c r="A230">
        <v>229</v>
      </c>
      <c r="B230">
        <v>5</v>
      </c>
      <c r="C230">
        <v>21</v>
      </c>
      <c r="D230">
        <v>1</v>
      </c>
      <c r="E230" t="s">
        <v>116</v>
      </c>
      <c r="F230" t="s">
        <v>107</v>
      </c>
      <c r="H230" s="2">
        <v>45772</v>
      </c>
      <c r="I230" s="3">
        <v>45772.75</v>
      </c>
    </row>
    <row r="231" spans="1:9" x14ac:dyDescent="0.2">
      <c r="A231">
        <v>230</v>
      </c>
      <c r="B231">
        <v>5</v>
      </c>
      <c r="C231">
        <v>15</v>
      </c>
      <c r="D231">
        <v>1</v>
      </c>
      <c r="E231" t="s">
        <v>116</v>
      </c>
      <c r="F231" t="s">
        <v>105</v>
      </c>
      <c r="H231" s="2">
        <v>45772</v>
      </c>
      <c r="I231" s="3">
        <v>45772.75</v>
      </c>
    </row>
    <row r="232" spans="1:9" x14ac:dyDescent="0.2">
      <c r="A232">
        <v>231</v>
      </c>
      <c r="B232">
        <v>5</v>
      </c>
      <c r="C232">
        <v>37</v>
      </c>
      <c r="D232">
        <v>1</v>
      </c>
      <c r="E232" t="s">
        <v>117</v>
      </c>
      <c r="F232" t="s">
        <v>108</v>
      </c>
      <c r="H232" s="2">
        <v>45772</v>
      </c>
      <c r="I232" s="3">
        <v>45772.625</v>
      </c>
    </row>
    <row r="233" spans="1:9" x14ac:dyDescent="0.2">
      <c r="A233">
        <v>232</v>
      </c>
      <c r="B233">
        <v>5</v>
      </c>
      <c r="C233">
        <v>6</v>
      </c>
      <c r="D233">
        <v>1</v>
      </c>
      <c r="E233" t="s">
        <v>114</v>
      </c>
      <c r="F233" t="s">
        <v>104</v>
      </c>
      <c r="H233" s="2">
        <v>45773</v>
      </c>
      <c r="I233" s="3">
        <v>45773.333333333343</v>
      </c>
    </row>
    <row r="234" spans="1:9" x14ac:dyDescent="0.2">
      <c r="A234">
        <v>233</v>
      </c>
      <c r="B234">
        <v>5</v>
      </c>
      <c r="C234">
        <v>14</v>
      </c>
      <c r="D234">
        <v>1</v>
      </c>
      <c r="E234" t="s">
        <v>114</v>
      </c>
      <c r="F234" t="s">
        <v>106</v>
      </c>
      <c r="H234" s="2">
        <v>45773</v>
      </c>
      <c r="I234" s="3">
        <v>45773.333333333343</v>
      </c>
    </row>
    <row r="235" spans="1:9" x14ac:dyDescent="0.2">
      <c r="A235">
        <v>234</v>
      </c>
      <c r="B235">
        <v>5</v>
      </c>
      <c r="C235">
        <v>30</v>
      </c>
      <c r="D235">
        <v>1</v>
      </c>
      <c r="E235" t="s">
        <v>115</v>
      </c>
      <c r="F235" t="s">
        <v>107</v>
      </c>
      <c r="H235" s="2">
        <v>45773</v>
      </c>
      <c r="I235" s="3">
        <v>45773.5</v>
      </c>
    </row>
    <row r="236" spans="1:9" x14ac:dyDescent="0.2">
      <c r="A236">
        <v>235</v>
      </c>
      <c r="B236">
        <v>5</v>
      </c>
      <c r="C236">
        <v>15</v>
      </c>
      <c r="D236">
        <v>1</v>
      </c>
      <c r="E236" t="s">
        <v>115</v>
      </c>
      <c r="F236" t="s">
        <v>105</v>
      </c>
      <c r="H236" s="2">
        <v>45773</v>
      </c>
      <c r="I236" s="3">
        <v>45773.5</v>
      </c>
    </row>
    <row r="237" spans="1:9" x14ac:dyDescent="0.2">
      <c r="A237">
        <v>236</v>
      </c>
      <c r="B237">
        <v>5</v>
      </c>
      <c r="C237">
        <v>22</v>
      </c>
      <c r="D237">
        <v>1</v>
      </c>
      <c r="E237" t="s">
        <v>116</v>
      </c>
      <c r="F237" t="s">
        <v>107</v>
      </c>
      <c r="H237" s="2">
        <v>45773</v>
      </c>
      <c r="I237" s="3">
        <v>45773.75</v>
      </c>
    </row>
    <row r="238" spans="1:9" x14ac:dyDescent="0.2">
      <c r="A238">
        <v>237</v>
      </c>
      <c r="B238">
        <v>5</v>
      </c>
      <c r="C238">
        <v>16</v>
      </c>
      <c r="D238">
        <v>1</v>
      </c>
      <c r="E238" t="s">
        <v>116</v>
      </c>
      <c r="F238" t="s">
        <v>105</v>
      </c>
      <c r="H238" s="2">
        <v>45773</v>
      </c>
      <c r="I238" s="3">
        <v>45773.75</v>
      </c>
    </row>
    <row r="239" spans="1:9" x14ac:dyDescent="0.2">
      <c r="A239">
        <v>238</v>
      </c>
      <c r="B239">
        <v>5</v>
      </c>
      <c r="C239">
        <v>38</v>
      </c>
      <c r="D239">
        <v>1</v>
      </c>
      <c r="E239" t="s">
        <v>117</v>
      </c>
      <c r="F239" t="s">
        <v>108</v>
      </c>
      <c r="H239" s="2">
        <v>45773</v>
      </c>
      <c r="I239" s="3">
        <v>45773.625</v>
      </c>
    </row>
    <row r="240" spans="1:9" x14ac:dyDescent="0.2">
      <c r="A240">
        <v>239</v>
      </c>
      <c r="B240">
        <v>5</v>
      </c>
      <c r="C240">
        <v>7</v>
      </c>
      <c r="D240">
        <v>1</v>
      </c>
      <c r="E240" t="s">
        <v>114</v>
      </c>
      <c r="F240" t="s">
        <v>104</v>
      </c>
      <c r="H240" s="2">
        <v>45774</v>
      </c>
      <c r="I240" s="3">
        <v>45774.333333333343</v>
      </c>
    </row>
    <row r="241" spans="1:9" x14ac:dyDescent="0.2">
      <c r="A241">
        <v>240</v>
      </c>
      <c r="B241">
        <v>5</v>
      </c>
      <c r="C241">
        <v>15</v>
      </c>
      <c r="D241">
        <v>1</v>
      </c>
      <c r="E241" t="s">
        <v>114</v>
      </c>
      <c r="F241" t="s">
        <v>106</v>
      </c>
      <c r="H241" s="2">
        <v>45774</v>
      </c>
      <c r="I241" s="3">
        <v>45774.333333333343</v>
      </c>
    </row>
    <row r="242" spans="1:9" x14ac:dyDescent="0.2">
      <c r="A242">
        <v>241</v>
      </c>
      <c r="B242">
        <v>5</v>
      </c>
      <c r="C242">
        <v>31</v>
      </c>
      <c r="D242">
        <v>1</v>
      </c>
      <c r="E242" t="s">
        <v>115</v>
      </c>
      <c r="F242" t="s">
        <v>107</v>
      </c>
      <c r="H242" s="2">
        <v>45774</v>
      </c>
      <c r="I242" s="3">
        <v>45774.5</v>
      </c>
    </row>
    <row r="243" spans="1:9" x14ac:dyDescent="0.2">
      <c r="A243">
        <v>242</v>
      </c>
      <c r="B243">
        <v>5</v>
      </c>
      <c r="C243">
        <v>16</v>
      </c>
      <c r="D243">
        <v>1</v>
      </c>
      <c r="E243" t="s">
        <v>115</v>
      </c>
      <c r="F243" t="s">
        <v>105</v>
      </c>
      <c r="H243" s="2">
        <v>45774</v>
      </c>
      <c r="I243" s="3">
        <v>45774.5</v>
      </c>
    </row>
    <row r="244" spans="1:9" x14ac:dyDescent="0.2">
      <c r="A244">
        <v>243</v>
      </c>
      <c r="B244">
        <v>5</v>
      </c>
      <c r="C244">
        <v>23</v>
      </c>
      <c r="D244">
        <v>1</v>
      </c>
      <c r="E244" t="s">
        <v>116</v>
      </c>
      <c r="F244" t="s">
        <v>107</v>
      </c>
      <c r="H244" s="2">
        <v>45774</v>
      </c>
      <c r="I244" s="3">
        <v>45774.75</v>
      </c>
    </row>
    <row r="245" spans="1:9" x14ac:dyDescent="0.2">
      <c r="A245">
        <v>244</v>
      </c>
      <c r="B245">
        <v>5</v>
      </c>
      <c r="C245">
        <v>9</v>
      </c>
      <c r="D245">
        <v>1</v>
      </c>
      <c r="E245" t="s">
        <v>116</v>
      </c>
      <c r="F245" t="s">
        <v>105</v>
      </c>
      <c r="H245" s="2">
        <v>45774</v>
      </c>
      <c r="I245" s="3">
        <v>45774.75</v>
      </c>
    </row>
    <row r="246" spans="1:9" x14ac:dyDescent="0.2">
      <c r="A246">
        <v>245</v>
      </c>
      <c r="B246">
        <v>5</v>
      </c>
      <c r="C246">
        <v>32</v>
      </c>
      <c r="D246">
        <v>1</v>
      </c>
      <c r="E246" t="s">
        <v>117</v>
      </c>
      <c r="F246" t="s">
        <v>108</v>
      </c>
      <c r="H246" s="2">
        <v>45774</v>
      </c>
      <c r="I246" s="3">
        <v>45774.625</v>
      </c>
    </row>
    <row r="247" spans="1:9" x14ac:dyDescent="0.2">
      <c r="A247">
        <v>246</v>
      </c>
      <c r="B247">
        <v>6</v>
      </c>
      <c r="C247">
        <v>1</v>
      </c>
      <c r="D247">
        <v>1</v>
      </c>
      <c r="E247" t="s">
        <v>114</v>
      </c>
      <c r="F247" t="s">
        <v>104</v>
      </c>
      <c r="H247" s="2">
        <v>45768</v>
      </c>
      <c r="I247" s="3">
        <v>45768.333333333343</v>
      </c>
    </row>
    <row r="248" spans="1:9" x14ac:dyDescent="0.2">
      <c r="A248">
        <v>247</v>
      </c>
      <c r="B248">
        <v>6</v>
      </c>
      <c r="C248">
        <v>9</v>
      </c>
      <c r="D248">
        <v>1</v>
      </c>
      <c r="E248" t="s">
        <v>114</v>
      </c>
      <c r="F248" t="s">
        <v>106</v>
      </c>
      <c r="H248" s="2">
        <v>45768</v>
      </c>
      <c r="I248" s="3">
        <v>45768.333333333343</v>
      </c>
    </row>
    <row r="249" spans="1:9" x14ac:dyDescent="0.2">
      <c r="A249">
        <v>248</v>
      </c>
      <c r="B249">
        <v>6</v>
      </c>
      <c r="C249">
        <v>25</v>
      </c>
      <c r="D249">
        <v>1</v>
      </c>
      <c r="E249" t="s">
        <v>115</v>
      </c>
      <c r="F249" t="s">
        <v>107</v>
      </c>
      <c r="H249" s="2">
        <v>45768</v>
      </c>
      <c r="I249" s="3">
        <v>45768.5</v>
      </c>
    </row>
    <row r="250" spans="1:9" x14ac:dyDescent="0.2">
      <c r="A250">
        <v>249</v>
      </c>
      <c r="B250">
        <v>6</v>
      </c>
      <c r="C250">
        <v>10</v>
      </c>
      <c r="D250">
        <v>1</v>
      </c>
      <c r="E250" t="s">
        <v>115</v>
      </c>
      <c r="F250" t="s">
        <v>105</v>
      </c>
      <c r="H250" s="2">
        <v>45768</v>
      </c>
      <c r="I250" s="3">
        <v>45768.5</v>
      </c>
    </row>
    <row r="251" spans="1:9" x14ac:dyDescent="0.2">
      <c r="A251">
        <v>250</v>
      </c>
      <c r="B251">
        <v>6</v>
      </c>
      <c r="C251">
        <v>17</v>
      </c>
      <c r="D251">
        <v>1</v>
      </c>
      <c r="E251" t="s">
        <v>116</v>
      </c>
      <c r="F251" t="s">
        <v>107</v>
      </c>
      <c r="H251" s="2">
        <v>45768</v>
      </c>
      <c r="I251" s="3">
        <v>45768.75</v>
      </c>
    </row>
    <row r="252" spans="1:9" x14ac:dyDescent="0.2">
      <c r="A252">
        <v>251</v>
      </c>
      <c r="B252">
        <v>6</v>
      </c>
      <c r="C252">
        <v>11</v>
      </c>
      <c r="D252">
        <v>1</v>
      </c>
      <c r="E252" t="s">
        <v>116</v>
      </c>
      <c r="F252" t="s">
        <v>105</v>
      </c>
      <c r="H252" s="2">
        <v>45768</v>
      </c>
      <c r="I252" s="3">
        <v>45768.75</v>
      </c>
    </row>
    <row r="253" spans="1:9" x14ac:dyDescent="0.2">
      <c r="A253">
        <v>252</v>
      </c>
      <c r="B253">
        <v>6</v>
      </c>
      <c r="C253">
        <v>33</v>
      </c>
      <c r="D253">
        <v>1</v>
      </c>
      <c r="E253" t="s">
        <v>117</v>
      </c>
      <c r="F253" t="s">
        <v>108</v>
      </c>
      <c r="H253" s="2">
        <v>45768</v>
      </c>
      <c r="I253" s="3">
        <v>45768.625</v>
      </c>
    </row>
    <row r="254" spans="1:9" x14ac:dyDescent="0.2">
      <c r="A254">
        <v>253</v>
      </c>
      <c r="B254">
        <v>6</v>
      </c>
      <c r="C254">
        <v>2</v>
      </c>
      <c r="D254">
        <v>1</v>
      </c>
      <c r="E254" t="s">
        <v>114</v>
      </c>
      <c r="F254" t="s">
        <v>104</v>
      </c>
      <c r="H254" s="2">
        <v>45769</v>
      </c>
      <c r="I254" s="3">
        <v>45769.333333333343</v>
      </c>
    </row>
    <row r="255" spans="1:9" x14ac:dyDescent="0.2">
      <c r="A255">
        <v>254</v>
      </c>
      <c r="B255">
        <v>6</v>
      </c>
      <c r="C255">
        <v>10</v>
      </c>
      <c r="D255">
        <v>1</v>
      </c>
      <c r="E255" t="s">
        <v>114</v>
      </c>
      <c r="F255" t="s">
        <v>106</v>
      </c>
      <c r="H255" s="2">
        <v>45769</v>
      </c>
      <c r="I255" s="3">
        <v>45769.333333333343</v>
      </c>
    </row>
    <row r="256" spans="1:9" x14ac:dyDescent="0.2">
      <c r="A256">
        <v>255</v>
      </c>
      <c r="B256">
        <v>6</v>
      </c>
      <c r="C256">
        <v>26</v>
      </c>
      <c r="D256">
        <v>1</v>
      </c>
      <c r="E256" t="s">
        <v>115</v>
      </c>
      <c r="F256" t="s">
        <v>107</v>
      </c>
      <c r="H256" s="2">
        <v>45769</v>
      </c>
      <c r="I256" s="3">
        <v>45769.5</v>
      </c>
    </row>
    <row r="257" spans="1:9" x14ac:dyDescent="0.2">
      <c r="A257">
        <v>256</v>
      </c>
      <c r="B257">
        <v>6</v>
      </c>
      <c r="C257">
        <v>11</v>
      </c>
      <c r="D257">
        <v>1</v>
      </c>
      <c r="E257" t="s">
        <v>115</v>
      </c>
      <c r="F257" t="s">
        <v>105</v>
      </c>
      <c r="H257" s="2">
        <v>45769</v>
      </c>
      <c r="I257" s="3">
        <v>45769.5</v>
      </c>
    </row>
    <row r="258" spans="1:9" x14ac:dyDescent="0.2">
      <c r="A258">
        <v>257</v>
      </c>
      <c r="B258">
        <v>6</v>
      </c>
      <c r="C258">
        <v>18</v>
      </c>
      <c r="D258">
        <v>1</v>
      </c>
      <c r="E258" t="s">
        <v>116</v>
      </c>
      <c r="F258" t="s">
        <v>107</v>
      </c>
      <c r="H258" s="2">
        <v>45769</v>
      </c>
      <c r="I258" s="3">
        <v>45769.75</v>
      </c>
    </row>
    <row r="259" spans="1:9" x14ac:dyDescent="0.2">
      <c r="A259">
        <v>258</v>
      </c>
      <c r="B259">
        <v>6</v>
      </c>
      <c r="C259">
        <v>12</v>
      </c>
      <c r="D259">
        <v>1</v>
      </c>
      <c r="E259" t="s">
        <v>116</v>
      </c>
      <c r="F259" t="s">
        <v>105</v>
      </c>
      <c r="H259" s="2">
        <v>45769</v>
      </c>
      <c r="I259" s="3">
        <v>45769.75</v>
      </c>
    </row>
    <row r="260" spans="1:9" x14ac:dyDescent="0.2">
      <c r="A260">
        <v>259</v>
      </c>
      <c r="B260">
        <v>6</v>
      </c>
      <c r="C260">
        <v>34</v>
      </c>
      <c r="D260">
        <v>1</v>
      </c>
      <c r="E260" t="s">
        <v>117</v>
      </c>
      <c r="F260" t="s">
        <v>108</v>
      </c>
      <c r="H260" s="2">
        <v>45769</v>
      </c>
      <c r="I260" s="3">
        <v>45769.625</v>
      </c>
    </row>
    <row r="261" spans="1:9" x14ac:dyDescent="0.2">
      <c r="A261">
        <v>260</v>
      </c>
      <c r="B261">
        <v>6</v>
      </c>
      <c r="C261">
        <v>3</v>
      </c>
      <c r="D261">
        <v>1</v>
      </c>
      <c r="E261" t="s">
        <v>114</v>
      </c>
      <c r="F261" t="s">
        <v>104</v>
      </c>
      <c r="H261" s="2">
        <v>45770</v>
      </c>
      <c r="I261" s="3">
        <v>45770.333333333343</v>
      </c>
    </row>
    <row r="262" spans="1:9" x14ac:dyDescent="0.2">
      <c r="A262">
        <v>261</v>
      </c>
      <c r="B262">
        <v>6</v>
      </c>
      <c r="C262">
        <v>11</v>
      </c>
      <c r="D262">
        <v>1</v>
      </c>
      <c r="E262" t="s">
        <v>114</v>
      </c>
      <c r="F262" t="s">
        <v>106</v>
      </c>
      <c r="H262" s="2">
        <v>45770</v>
      </c>
      <c r="I262" s="3">
        <v>45770.333333333343</v>
      </c>
    </row>
    <row r="263" spans="1:9" x14ac:dyDescent="0.2">
      <c r="A263">
        <v>262</v>
      </c>
      <c r="B263">
        <v>6</v>
      </c>
      <c r="C263">
        <v>27</v>
      </c>
      <c r="D263">
        <v>1</v>
      </c>
      <c r="E263" t="s">
        <v>115</v>
      </c>
      <c r="F263" t="s">
        <v>107</v>
      </c>
      <c r="H263" s="2">
        <v>45770</v>
      </c>
      <c r="I263" s="3">
        <v>45770.5</v>
      </c>
    </row>
    <row r="264" spans="1:9" x14ac:dyDescent="0.2">
      <c r="A264">
        <v>263</v>
      </c>
      <c r="B264">
        <v>6</v>
      </c>
      <c r="C264">
        <v>12</v>
      </c>
      <c r="D264">
        <v>1</v>
      </c>
      <c r="E264" t="s">
        <v>115</v>
      </c>
      <c r="F264" t="s">
        <v>105</v>
      </c>
      <c r="H264" s="2">
        <v>45770</v>
      </c>
      <c r="I264" s="3">
        <v>45770.5</v>
      </c>
    </row>
    <row r="265" spans="1:9" x14ac:dyDescent="0.2">
      <c r="A265">
        <v>264</v>
      </c>
      <c r="B265">
        <v>6</v>
      </c>
      <c r="C265">
        <v>19</v>
      </c>
      <c r="D265">
        <v>1</v>
      </c>
      <c r="E265" t="s">
        <v>116</v>
      </c>
      <c r="F265" t="s">
        <v>107</v>
      </c>
      <c r="H265" s="2">
        <v>45770</v>
      </c>
      <c r="I265" s="3">
        <v>45770.75</v>
      </c>
    </row>
    <row r="266" spans="1:9" x14ac:dyDescent="0.2">
      <c r="A266">
        <v>265</v>
      </c>
      <c r="B266">
        <v>6</v>
      </c>
      <c r="C266">
        <v>13</v>
      </c>
      <c r="D266">
        <v>1</v>
      </c>
      <c r="E266" t="s">
        <v>116</v>
      </c>
      <c r="F266" t="s">
        <v>105</v>
      </c>
      <c r="H266" s="2">
        <v>45770</v>
      </c>
      <c r="I266" s="3">
        <v>45770.75</v>
      </c>
    </row>
    <row r="267" spans="1:9" x14ac:dyDescent="0.2">
      <c r="A267">
        <v>266</v>
      </c>
      <c r="B267">
        <v>6</v>
      </c>
      <c r="C267">
        <v>35</v>
      </c>
      <c r="D267">
        <v>1</v>
      </c>
      <c r="E267" t="s">
        <v>117</v>
      </c>
      <c r="F267" t="s">
        <v>108</v>
      </c>
      <c r="H267" s="2">
        <v>45770</v>
      </c>
      <c r="I267" s="3">
        <v>45770.625</v>
      </c>
    </row>
    <row r="268" spans="1:9" x14ac:dyDescent="0.2">
      <c r="A268">
        <v>267</v>
      </c>
      <c r="B268">
        <v>6</v>
      </c>
      <c r="C268">
        <v>4</v>
      </c>
      <c r="D268">
        <v>1</v>
      </c>
      <c r="E268" t="s">
        <v>114</v>
      </c>
      <c r="F268" t="s">
        <v>104</v>
      </c>
      <c r="H268" s="2">
        <v>45771</v>
      </c>
      <c r="I268" s="3">
        <v>45771.333333333343</v>
      </c>
    </row>
    <row r="269" spans="1:9" x14ac:dyDescent="0.2">
      <c r="A269">
        <v>268</v>
      </c>
      <c r="B269">
        <v>6</v>
      </c>
      <c r="C269">
        <v>12</v>
      </c>
      <c r="D269">
        <v>1</v>
      </c>
      <c r="E269" t="s">
        <v>114</v>
      </c>
      <c r="F269" t="s">
        <v>106</v>
      </c>
      <c r="H269" s="2">
        <v>45771</v>
      </c>
      <c r="I269" s="3">
        <v>45771.333333333343</v>
      </c>
    </row>
    <row r="270" spans="1:9" x14ac:dyDescent="0.2">
      <c r="A270">
        <v>269</v>
      </c>
      <c r="B270">
        <v>6</v>
      </c>
      <c r="C270">
        <v>28</v>
      </c>
      <c r="D270">
        <v>1</v>
      </c>
      <c r="E270" t="s">
        <v>115</v>
      </c>
      <c r="F270" t="s">
        <v>107</v>
      </c>
      <c r="H270" s="2">
        <v>45771</v>
      </c>
      <c r="I270" s="3">
        <v>45771.5</v>
      </c>
    </row>
    <row r="271" spans="1:9" x14ac:dyDescent="0.2">
      <c r="A271">
        <v>270</v>
      </c>
      <c r="B271">
        <v>6</v>
      </c>
      <c r="C271">
        <v>13</v>
      </c>
      <c r="D271">
        <v>1</v>
      </c>
      <c r="E271" t="s">
        <v>115</v>
      </c>
      <c r="F271" t="s">
        <v>105</v>
      </c>
      <c r="H271" s="2">
        <v>45771</v>
      </c>
      <c r="I271" s="3">
        <v>45771.5</v>
      </c>
    </row>
    <row r="272" spans="1:9" x14ac:dyDescent="0.2">
      <c r="A272">
        <v>271</v>
      </c>
      <c r="B272">
        <v>6</v>
      </c>
      <c r="C272">
        <v>20</v>
      </c>
      <c r="D272">
        <v>1</v>
      </c>
      <c r="E272" t="s">
        <v>116</v>
      </c>
      <c r="F272" t="s">
        <v>107</v>
      </c>
      <c r="H272" s="2">
        <v>45771</v>
      </c>
      <c r="I272" s="3">
        <v>45771.75</v>
      </c>
    </row>
    <row r="273" spans="1:9" x14ac:dyDescent="0.2">
      <c r="A273">
        <v>272</v>
      </c>
      <c r="B273">
        <v>6</v>
      </c>
      <c r="C273">
        <v>14</v>
      </c>
      <c r="D273">
        <v>1</v>
      </c>
      <c r="E273" t="s">
        <v>116</v>
      </c>
      <c r="F273" t="s">
        <v>105</v>
      </c>
      <c r="H273" s="2">
        <v>45771</v>
      </c>
      <c r="I273" s="3">
        <v>45771.75</v>
      </c>
    </row>
    <row r="274" spans="1:9" x14ac:dyDescent="0.2">
      <c r="A274">
        <v>273</v>
      </c>
      <c r="B274">
        <v>6</v>
      </c>
      <c r="C274">
        <v>36</v>
      </c>
      <c r="D274">
        <v>1</v>
      </c>
      <c r="E274" t="s">
        <v>117</v>
      </c>
      <c r="F274" t="s">
        <v>108</v>
      </c>
      <c r="H274" s="2">
        <v>45771</v>
      </c>
      <c r="I274" s="3">
        <v>45771.625</v>
      </c>
    </row>
    <row r="275" spans="1:9" x14ac:dyDescent="0.2">
      <c r="A275">
        <v>274</v>
      </c>
      <c r="B275">
        <v>6</v>
      </c>
      <c r="C275">
        <v>5</v>
      </c>
      <c r="D275">
        <v>1</v>
      </c>
      <c r="E275" t="s">
        <v>114</v>
      </c>
      <c r="F275" t="s">
        <v>104</v>
      </c>
      <c r="H275" s="2">
        <v>45772</v>
      </c>
      <c r="I275" s="3">
        <v>45772.333333333343</v>
      </c>
    </row>
    <row r="276" spans="1:9" x14ac:dyDescent="0.2">
      <c r="A276">
        <v>275</v>
      </c>
      <c r="B276">
        <v>6</v>
      </c>
      <c r="C276">
        <v>13</v>
      </c>
      <c r="D276">
        <v>1</v>
      </c>
      <c r="E276" t="s">
        <v>114</v>
      </c>
      <c r="F276" t="s">
        <v>106</v>
      </c>
      <c r="H276" s="2">
        <v>45772</v>
      </c>
      <c r="I276" s="3">
        <v>45772.333333333343</v>
      </c>
    </row>
    <row r="277" spans="1:9" x14ac:dyDescent="0.2">
      <c r="A277">
        <v>276</v>
      </c>
      <c r="B277">
        <v>6</v>
      </c>
      <c r="C277">
        <v>29</v>
      </c>
      <c r="D277">
        <v>1</v>
      </c>
      <c r="E277" t="s">
        <v>115</v>
      </c>
      <c r="F277" t="s">
        <v>107</v>
      </c>
      <c r="H277" s="2">
        <v>45772</v>
      </c>
      <c r="I277" s="3">
        <v>45772.5</v>
      </c>
    </row>
    <row r="278" spans="1:9" x14ac:dyDescent="0.2">
      <c r="A278">
        <v>277</v>
      </c>
      <c r="B278">
        <v>6</v>
      </c>
      <c r="C278">
        <v>14</v>
      </c>
      <c r="D278">
        <v>1</v>
      </c>
      <c r="E278" t="s">
        <v>115</v>
      </c>
      <c r="F278" t="s">
        <v>105</v>
      </c>
      <c r="H278" s="2">
        <v>45772</v>
      </c>
      <c r="I278" s="3">
        <v>45772.5</v>
      </c>
    </row>
    <row r="279" spans="1:9" x14ac:dyDescent="0.2">
      <c r="A279">
        <v>278</v>
      </c>
      <c r="B279">
        <v>6</v>
      </c>
      <c r="C279">
        <v>21</v>
      </c>
      <c r="D279">
        <v>1</v>
      </c>
      <c r="E279" t="s">
        <v>116</v>
      </c>
      <c r="F279" t="s">
        <v>107</v>
      </c>
      <c r="H279" s="2">
        <v>45772</v>
      </c>
      <c r="I279" s="3">
        <v>45772.75</v>
      </c>
    </row>
    <row r="280" spans="1:9" x14ac:dyDescent="0.2">
      <c r="A280">
        <v>279</v>
      </c>
      <c r="B280">
        <v>6</v>
      </c>
      <c r="C280">
        <v>15</v>
      </c>
      <c r="D280">
        <v>1</v>
      </c>
      <c r="E280" t="s">
        <v>116</v>
      </c>
      <c r="F280" t="s">
        <v>105</v>
      </c>
      <c r="H280" s="2">
        <v>45772</v>
      </c>
      <c r="I280" s="3">
        <v>45772.75</v>
      </c>
    </row>
    <row r="281" spans="1:9" x14ac:dyDescent="0.2">
      <c r="A281">
        <v>280</v>
      </c>
      <c r="B281">
        <v>6</v>
      </c>
      <c r="C281">
        <v>37</v>
      </c>
      <c r="D281">
        <v>1</v>
      </c>
      <c r="E281" t="s">
        <v>117</v>
      </c>
      <c r="F281" t="s">
        <v>108</v>
      </c>
      <c r="H281" s="2">
        <v>45772</v>
      </c>
      <c r="I281" s="3">
        <v>45772.625</v>
      </c>
    </row>
    <row r="282" spans="1:9" x14ac:dyDescent="0.2">
      <c r="A282">
        <v>281</v>
      </c>
      <c r="B282">
        <v>6</v>
      </c>
      <c r="C282">
        <v>6</v>
      </c>
      <c r="D282">
        <v>1</v>
      </c>
      <c r="E282" t="s">
        <v>114</v>
      </c>
      <c r="F282" t="s">
        <v>104</v>
      </c>
      <c r="H282" s="2">
        <v>45773</v>
      </c>
      <c r="I282" s="3">
        <v>45773.333333333343</v>
      </c>
    </row>
    <row r="283" spans="1:9" x14ac:dyDescent="0.2">
      <c r="A283">
        <v>282</v>
      </c>
      <c r="B283">
        <v>6</v>
      </c>
      <c r="C283">
        <v>14</v>
      </c>
      <c r="D283">
        <v>1</v>
      </c>
      <c r="E283" t="s">
        <v>114</v>
      </c>
      <c r="F283" t="s">
        <v>106</v>
      </c>
      <c r="H283" s="2">
        <v>45773</v>
      </c>
      <c r="I283" s="3">
        <v>45773.333333333343</v>
      </c>
    </row>
    <row r="284" spans="1:9" x14ac:dyDescent="0.2">
      <c r="A284">
        <v>283</v>
      </c>
      <c r="B284">
        <v>6</v>
      </c>
      <c r="C284">
        <v>30</v>
      </c>
      <c r="D284">
        <v>1</v>
      </c>
      <c r="E284" t="s">
        <v>115</v>
      </c>
      <c r="F284" t="s">
        <v>107</v>
      </c>
      <c r="H284" s="2">
        <v>45773</v>
      </c>
      <c r="I284" s="3">
        <v>45773.5</v>
      </c>
    </row>
    <row r="285" spans="1:9" x14ac:dyDescent="0.2">
      <c r="A285">
        <v>284</v>
      </c>
      <c r="B285">
        <v>6</v>
      </c>
      <c r="C285">
        <v>15</v>
      </c>
      <c r="D285">
        <v>1</v>
      </c>
      <c r="E285" t="s">
        <v>115</v>
      </c>
      <c r="F285" t="s">
        <v>105</v>
      </c>
      <c r="H285" s="2">
        <v>45773</v>
      </c>
      <c r="I285" s="3">
        <v>45773.5</v>
      </c>
    </row>
    <row r="286" spans="1:9" x14ac:dyDescent="0.2">
      <c r="A286">
        <v>285</v>
      </c>
      <c r="B286">
        <v>6</v>
      </c>
      <c r="C286">
        <v>22</v>
      </c>
      <c r="D286">
        <v>1</v>
      </c>
      <c r="E286" t="s">
        <v>116</v>
      </c>
      <c r="F286" t="s">
        <v>107</v>
      </c>
      <c r="H286" s="2">
        <v>45773</v>
      </c>
      <c r="I286" s="3">
        <v>45773.75</v>
      </c>
    </row>
    <row r="287" spans="1:9" x14ac:dyDescent="0.2">
      <c r="A287">
        <v>286</v>
      </c>
      <c r="B287">
        <v>6</v>
      </c>
      <c r="C287">
        <v>16</v>
      </c>
      <c r="D287">
        <v>1</v>
      </c>
      <c r="E287" t="s">
        <v>116</v>
      </c>
      <c r="F287" t="s">
        <v>105</v>
      </c>
      <c r="H287" s="2">
        <v>45773</v>
      </c>
      <c r="I287" s="3">
        <v>45773.75</v>
      </c>
    </row>
    <row r="288" spans="1:9" x14ac:dyDescent="0.2">
      <c r="A288">
        <v>287</v>
      </c>
      <c r="B288">
        <v>6</v>
      </c>
      <c r="C288">
        <v>38</v>
      </c>
      <c r="D288">
        <v>1</v>
      </c>
      <c r="E288" t="s">
        <v>117</v>
      </c>
      <c r="F288" t="s">
        <v>108</v>
      </c>
      <c r="H288" s="2">
        <v>45773</v>
      </c>
      <c r="I288" s="3">
        <v>45773.625</v>
      </c>
    </row>
    <row r="289" spans="1:9" x14ac:dyDescent="0.2">
      <c r="A289">
        <v>288</v>
      </c>
      <c r="B289">
        <v>6</v>
      </c>
      <c r="C289">
        <v>7</v>
      </c>
      <c r="D289">
        <v>1</v>
      </c>
      <c r="E289" t="s">
        <v>114</v>
      </c>
      <c r="F289" t="s">
        <v>104</v>
      </c>
      <c r="H289" s="2">
        <v>45774</v>
      </c>
      <c r="I289" s="3">
        <v>45774.333333333343</v>
      </c>
    </row>
    <row r="290" spans="1:9" x14ac:dyDescent="0.2">
      <c r="A290">
        <v>289</v>
      </c>
      <c r="B290">
        <v>6</v>
      </c>
      <c r="C290">
        <v>15</v>
      </c>
      <c r="D290">
        <v>1</v>
      </c>
      <c r="E290" t="s">
        <v>114</v>
      </c>
      <c r="F290" t="s">
        <v>106</v>
      </c>
      <c r="H290" s="2">
        <v>45774</v>
      </c>
      <c r="I290" s="3">
        <v>45774.333333333343</v>
      </c>
    </row>
    <row r="291" spans="1:9" x14ac:dyDescent="0.2">
      <c r="A291">
        <v>290</v>
      </c>
      <c r="B291">
        <v>6</v>
      </c>
      <c r="C291">
        <v>31</v>
      </c>
      <c r="D291">
        <v>1</v>
      </c>
      <c r="E291" t="s">
        <v>115</v>
      </c>
      <c r="F291" t="s">
        <v>107</v>
      </c>
      <c r="H291" s="2">
        <v>45774</v>
      </c>
      <c r="I291" s="3">
        <v>45774.5</v>
      </c>
    </row>
    <row r="292" spans="1:9" x14ac:dyDescent="0.2">
      <c r="A292">
        <v>291</v>
      </c>
      <c r="B292">
        <v>6</v>
      </c>
      <c r="C292">
        <v>16</v>
      </c>
      <c r="D292">
        <v>1</v>
      </c>
      <c r="E292" t="s">
        <v>115</v>
      </c>
      <c r="F292" t="s">
        <v>105</v>
      </c>
      <c r="H292" s="2">
        <v>45774</v>
      </c>
      <c r="I292" s="3">
        <v>45774.5</v>
      </c>
    </row>
    <row r="293" spans="1:9" x14ac:dyDescent="0.2">
      <c r="A293">
        <v>292</v>
      </c>
      <c r="B293">
        <v>6</v>
      </c>
      <c r="C293">
        <v>23</v>
      </c>
      <c r="D293">
        <v>1</v>
      </c>
      <c r="E293" t="s">
        <v>116</v>
      </c>
      <c r="F293" t="s">
        <v>107</v>
      </c>
      <c r="H293" s="2">
        <v>45774</v>
      </c>
      <c r="I293" s="3">
        <v>45774.75</v>
      </c>
    </row>
    <row r="294" spans="1:9" x14ac:dyDescent="0.2">
      <c r="A294">
        <v>293</v>
      </c>
      <c r="B294">
        <v>6</v>
      </c>
      <c r="C294">
        <v>9</v>
      </c>
      <c r="D294">
        <v>1</v>
      </c>
      <c r="E294" t="s">
        <v>116</v>
      </c>
      <c r="F294" t="s">
        <v>105</v>
      </c>
      <c r="H294" s="2">
        <v>45774</v>
      </c>
      <c r="I294" s="3">
        <v>45774.75</v>
      </c>
    </row>
    <row r="295" spans="1:9" x14ac:dyDescent="0.2">
      <c r="A295">
        <v>294</v>
      </c>
      <c r="B295">
        <v>6</v>
      </c>
      <c r="C295">
        <v>32</v>
      </c>
      <c r="D295">
        <v>1</v>
      </c>
      <c r="E295" t="s">
        <v>117</v>
      </c>
      <c r="F295" t="s">
        <v>108</v>
      </c>
      <c r="H295" s="2">
        <v>45774</v>
      </c>
      <c r="I295" s="3">
        <v>45774.625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3"/>
  <sheetViews>
    <sheetView workbookViewId="0">
      <selection activeCell="M23" sqref="M23"/>
    </sheetView>
  </sheetViews>
  <sheetFormatPr baseColWidth="10" defaultColWidth="8.83203125" defaultRowHeight="15" x14ac:dyDescent="0.2"/>
  <cols>
    <col min="3" max="3" width="17.6640625" bestFit="1" customWidth="1"/>
    <col min="12" max="12" width="17.6640625" bestFit="1" customWidth="1"/>
  </cols>
  <sheetData>
    <row r="1" spans="1:12" x14ac:dyDescent="0.2">
      <c r="A1" s="1" t="s">
        <v>118</v>
      </c>
      <c r="B1" s="1" t="s">
        <v>0</v>
      </c>
      <c r="C1" s="1" t="s">
        <v>113</v>
      </c>
      <c r="D1" s="1" t="s">
        <v>112</v>
      </c>
      <c r="E1" s="1" t="s">
        <v>111</v>
      </c>
      <c r="F1" s="1" t="s">
        <v>105</v>
      </c>
      <c r="G1" s="1" t="s">
        <v>104</v>
      </c>
      <c r="H1" s="1" t="s">
        <v>106</v>
      </c>
      <c r="I1" s="1" t="s">
        <v>107</v>
      </c>
      <c r="J1" s="1" t="s">
        <v>108</v>
      </c>
      <c r="K1" s="1" t="s">
        <v>109</v>
      </c>
      <c r="L1" s="1" t="s">
        <v>10</v>
      </c>
    </row>
    <row r="2" spans="1:12" x14ac:dyDescent="0.2">
      <c r="A2">
        <v>1</v>
      </c>
      <c r="B2">
        <v>1</v>
      </c>
      <c r="C2" s="3">
        <v>45768</v>
      </c>
      <c r="E2" t="s">
        <v>119</v>
      </c>
      <c r="F2">
        <v>2</v>
      </c>
      <c r="G2">
        <v>1</v>
      </c>
      <c r="H2">
        <v>1</v>
      </c>
      <c r="I2">
        <v>1</v>
      </c>
      <c r="J2">
        <v>1</v>
      </c>
      <c r="K2">
        <v>0</v>
      </c>
      <c r="L2" s="3">
        <v>45775.52412037037</v>
      </c>
    </row>
    <row r="3" spans="1:12" x14ac:dyDescent="0.2">
      <c r="A3">
        <v>2</v>
      </c>
      <c r="B3">
        <v>2</v>
      </c>
      <c r="C3" s="3">
        <v>45768</v>
      </c>
      <c r="E3" t="s">
        <v>119</v>
      </c>
      <c r="F3">
        <v>2</v>
      </c>
      <c r="G3">
        <v>1</v>
      </c>
      <c r="H3">
        <v>1</v>
      </c>
      <c r="I3">
        <v>1</v>
      </c>
      <c r="J3">
        <v>1</v>
      </c>
      <c r="K3">
        <v>0</v>
      </c>
      <c r="L3" s="3">
        <v>45775.52412037037</v>
      </c>
    </row>
    <row r="4" spans="1:12" x14ac:dyDescent="0.2">
      <c r="A4">
        <v>3</v>
      </c>
      <c r="B4">
        <v>3</v>
      </c>
      <c r="C4" s="3">
        <v>45768</v>
      </c>
      <c r="E4" t="s">
        <v>119</v>
      </c>
      <c r="F4">
        <v>2</v>
      </c>
      <c r="G4">
        <v>1</v>
      </c>
      <c r="H4">
        <v>1</v>
      </c>
      <c r="I4">
        <v>1</v>
      </c>
      <c r="J4">
        <v>1</v>
      </c>
      <c r="K4">
        <v>0</v>
      </c>
      <c r="L4" s="3">
        <v>45775.52412037037</v>
      </c>
    </row>
    <row r="5" spans="1:12" x14ac:dyDescent="0.2">
      <c r="A5">
        <v>4</v>
      </c>
      <c r="B5">
        <v>4</v>
      </c>
      <c r="C5" s="3">
        <v>45768</v>
      </c>
      <c r="E5" t="s">
        <v>119</v>
      </c>
      <c r="F5">
        <v>2</v>
      </c>
      <c r="G5">
        <v>1</v>
      </c>
      <c r="H5">
        <v>1</v>
      </c>
      <c r="I5">
        <v>1</v>
      </c>
      <c r="J5">
        <v>1</v>
      </c>
      <c r="K5">
        <v>0</v>
      </c>
      <c r="L5" s="3">
        <v>45775.52412037037</v>
      </c>
    </row>
    <row r="6" spans="1:12" x14ac:dyDescent="0.2">
      <c r="A6">
        <v>5</v>
      </c>
      <c r="B6">
        <v>5</v>
      </c>
      <c r="C6" s="3">
        <v>45768</v>
      </c>
      <c r="E6" t="s">
        <v>119</v>
      </c>
      <c r="F6">
        <v>2</v>
      </c>
      <c r="G6">
        <v>1</v>
      </c>
      <c r="H6">
        <v>1</v>
      </c>
      <c r="I6">
        <v>1</v>
      </c>
      <c r="J6">
        <v>1</v>
      </c>
      <c r="K6">
        <v>0</v>
      </c>
      <c r="L6" s="3">
        <v>45775.52412037037</v>
      </c>
    </row>
    <row r="7" spans="1:12" x14ac:dyDescent="0.2">
      <c r="A7">
        <v>6</v>
      </c>
      <c r="B7">
        <v>6</v>
      </c>
      <c r="C7" s="3">
        <v>45768</v>
      </c>
      <c r="E7" t="s">
        <v>119</v>
      </c>
      <c r="F7">
        <v>2</v>
      </c>
      <c r="G7">
        <v>1</v>
      </c>
      <c r="H7">
        <v>1</v>
      </c>
      <c r="I7">
        <v>1</v>
      </c>
      <c r="J7">
        <v>1</v>
      </c>
      <c r="K7">
        <v>0</v>
      </c>
      <c r="L7" s="3">
        <v>45775.52412037037</v>
      </c>
    </row>
    <row r="8" spans="1:12" x14ac:dyDescent="0.2">
      <c r="A8">
        <v>7</v>
      </c>
      <c r="B8">
        <v>1</v>
      </c>
      <c r="C8" s="3">
        <v>45769</v>
      </c>
      <c r="E8" t="s">
        <v>119</v>
      </c>
      <c r="F8">
        <v>2</v>
      </c>
      <c r="G8">
        <v>1</v>
      </c>
      <c r="H8">
        <v>1</v>
      </c>
      <c r="I8">
        <v>1</v>
      </c>
      <c r="J8">
        <v>1</v>
      </c>
      <c r="K8">
        <v>0</v>
      </c>
      <c r="L8" s="3">
        <v>45775.52412037037</v>
      </c>
    </row>
    <row r="9" spans="1:12" x14ac:dyDescent="0.2">
      <c r="A9">
        <v>8</v>
      </c>
      <c r="B9">
        <v>2</v>
      </c>
      <c r="C9" s="3">
        <v>45769</v>
      </c>
      <c r="E9" t="s">
        <v>119</v>
      </c>
      <c r="F9">
        <v>2</v>
      </c>
      <c r="G9">
        <v>1</v>
      </c>
      <c r="H9">
        <v>1</v>
      </c>
      <c r="I9">
        <v>1</v>
      </c>
      <c r="J9">
        <v>1</v>
      </c>
      <c r="K9">
        <v>0</v>
      </c>
      <c r="L9" s="3">
        <v>45775.52412037037</v>
      </c>
    </row>
    <row r="10" spans="1:12" x14ac:dyDescent="0.2">
      <c r="A10">
        <v>9</v>
      </c>
      <c r="B10">
        <v>3</v>
      </c>
      <c r="C10" s="3">
        <v>45769</v>
      </c>
      <c r="E10" t="s">
        <v>119</v>
      </c>
      <c r="F10">
        <v>2</v>
      </c>
      <c r="G10">
        <v>1</v>
      </c>
      <c r="H10">
        <v>1</v>
      </c>
      <c r="I10">
        <v>1</v>
      </c>
      <c r="J10">
        <v>1</v>
      </c>
      <c r="K10">
        <v>0</v>
      </c>
      <c r="L10" s="3">
        <v>45775.52412037037</v>
      </c>
    </row>
    <row r="11" spans="1:12" x14ac:dyDescent="0.2">
      <c r="A11">
        <v>10</v>
      </c>
      <c r="B11">
        <v>4</v>
      </c>
      <c r="C11" s="3">
        <v>45769</v>
      </c>
      <c r="E11" t="s">
        <v>119</v>
      </c>
      <c r="F11">
        <v>2</v>
      </c>
      <c r="G11">
        <v>1</v>
      </c>
      <c r="H11">
        <v>1</v>
      </c>
      <c r="I11">
        <v>1</v>
      </c>
      <c r="J11">
        <v>1</v>
      </c>
      <c r="K11">
        <v>0</v>
      </c>
      <c r="L11" s="3">
        <v>45775.52412037037</v>
      </c>
    </row>
    <row r="12" spans="1:12" x14ac:dyDescent="0.2">
      <c r="A12">
        <v>11</v>
      </c>
      <c r="B12">
        <v>5</v>
      </c>
      <c r="C12" s="3">
        <v>45769</v>
      </c>
      <c r="E12" t="s">
        <v>119</v>
      </c>
      <c r="F12">
        <v>2</v>
      </c>
      <c r="G12">
        <v>1</v>
      </c>
      <c r="H12">
        <v>1</v>
      </c>
      <c r="I12">
        <v>1</v>
      </c>
      <c r="J12">
        <v>1</v>
      </c>
      <c r="K12">
        <v>0</v>
      </c>
      <c r="L12" s="3">
        <v>45775.52412037037</v>
      </c>
    </row>
    <row r="13" spans="1:12" x14ac:dyDescent="0.2">
      <c r="A13">
        <v>12</v>
      </c>
      <c r="B13">
        <v>6</v>
      </c>
      <c r="C13" s="3">
        <v>45769</v>
      </c>
      <c r="E13" t="s">
        <v>119</v>
      </c>
      <c r="F13">
        <v>2</v>
      </c>
      <c r="G13">
        <v>1</v>
      </c>
      <c r="H13">
        <v>1</v>
      </c>
      <c r="I13">
        <v>1</v>
      </c>
      <c r="J13">
        <v>1</v>
      </c>
      <c r="K13">
        <v>0</v>
      </c>
      <c r="L13" s="3">
        <v>45775.52412037037</v>
      </c>
    </row>
    <row r="14" spans="1:12" x14ac:dyDescent="0.2">
      <c r="A14">
        <v>13</v>
      </c>
      <c r="B14">
        <v>1</v>
      </c>
      <c r="C14" s="3">
        <v>45770</v>
      </c>
      <c r="E14" t="s">
        <v>119</v>
      </c>
      <c r="F14">
        <v>2</v>
      </c>
      <c r="G14">
        <v>1</v>
      </c>
      <c r="H14">
        <v>1</v>
      </c>
      <c r="I14">
        <v>1</v>
      </c>
      <c r="J14">
        <v>1</v>
      </c>
      <c r="K14">
        <v>0</v>
      </c>
      <c r="L14" s="3">
        <v>45775.52412037037</v>
      </c>
    </row>
    <row r="15" spans="1:12" x14ac:dyDescent="0.2">
      <c r="A15">
        <v>14</v>
      </c>
      <c r="B15">
        <v>2</v>
      </c>
      <c r="C15" s="3">
        <v>45770</v>
      </c>
      <c r="E15" t="s">
        <v>119</v>
      </c>
      <c r="F15">
        <v>2</v>
      </c>
      <c r="G15">
        <v>1</v>
      </c>
      <c r="H15">
        <v>1</v>
      </c>
      <c r="I15">
        <v>1</v>
      </c>
      <c r="J15">
        <v>1</v>
      </c>
      <c r="K15">
        <v>0</v>
      </c>
      <c r="L15" s="3">
        <v>45775.52412037037</v>
      </c>
    </row>
    <row r="16" spans="1:12" x14ac:dyDescent="0.2">
      <c r="A16">
        <v>15</v>
      </c>
      <c r="B16">
        <v>3</v>
      </c>
      <c r="C16" s="3">
        <v>45770</v>
      </c>
      <c r="E16" t="s">
        <v>119</v>
      </c>
      <c r="F16">
        <v>2</v>
      </c>
      <c r="G16">
        <v>1</v>
      </c>
      <c r="H16">
        <v>1</v>
      </c>
      <c r="I16">
        <v>1</v>
      </c>
      <c r="J16">
        <v>1</v>
      </c>
      <c r="K16">
        <v>0</v>
      </c>
      <c r="L16" s="3">
        <v>45775.52412037037</v>
      </c>
    </row>
    <row r="17" spans="1:12" x14ac:dyDescent="0.2">
      <c r="A17">
        <v>16</v>
      </c>
      <c r="B17">
        <v>4</v>
      </c>
      <c r="C17" s="3">
        <v>45770</v>
      </c>
      <c r="E17" t="s">
        <v>119</v>
      </c>
      <c r="F17">
        <v>2</v>
      </c>
      <c r="G17">
        <v>1</v>
      </c>
      <c r="H17">
        <v>1</v>
      </c>
      <c r="I17">
        <v>1</v>
      </c>
      <c r="J17">
        <v>1</v>
      </c>
      <c r="K17">
        <v>0</v>
      </c>
      <c r="L17" s="3">
        <v>45775.52412037037</v>
      </c>
    </row>
    <row r="18" spans="1:12" x14ac:dyDescent="0.2">
      <c r="A18">
        <v>17</v>
      </c>
      <c r="B18">
        <v>5</v>
      </c>
      <c r="C18" s="3">
        <v>45770</v>
      </c>
      <c r="E18" t="s">
        <v>119</v>
      </c>
      <c r="F18">
        <v>2</v>
      </c>
      <c r="G18">
        <v>1</v>
      </c>
      <c r="H18">
        <v>1</v>
      </c>
      <c r="I18">
        <v>1</v>
      </c>
      <c r="J18">
        <v>1</v>
      </c>
      <c r="K18">
        <v>0</v>
      </c>
      <c r="L18" s="3">
        <v>45775.52412037037</v>
      </c>
    </row>
    <row r="19" spans="1:12" x14ac:dyDescent="0.2">
      <c r="A19">
        <v>18</v>
      </c>
      <c r="B19">
        <v>6</v>
      </c>
      <c r="C19" s="3">
        <v>45770</v>
      </c>
      <c r="E19" t="s">
        <v>119</v>
      </c>
      <c r="F19">
        <v>2</v>
      </c>
      <c r="G19">
        <v>1</v>
      </c>
      <c r="H19">
        <v>1</v>
      </c>
      <c r="I19">
        <v>1</v>
      </c>
      <c r="J19">
        <v>1</v>
      </c>
      <c r="K19">
        <v>0</v>
      </c>
      <c r="L19" s="3">
        <v>45775.52412037037</v>
      </c>
    </row>
    <row r="20" spans="1:12" x14ac:dyDescent="0.2">
      <c r="A20">
        <v>19</v>
      </c>
      <c r="B20">
        <v>1</v>
      </c>
      <c r="C20" s="3">
        <v>45771</v>
      </c>
      <c r="E20" t="s">
        <v>119</v>
      </c>
      <c r="F20">
        <v>2</v>
      </c>
      <c r="G20">
        <v>1</v>
      </c>
      <c r="H20">
        <v>1</v>
      </c>
      <c r="I20">
        <v>1</v>
      </c>
      <c r="J20">
        <v>1</v>
      </c>
      <c r="K20">
        <v>0</v>
      </c>
      <c r="L20" s="3">
        <v>45775.52412037037</v>
      </c>
    </row>
    <row r="21" spans="1:12" x14ac:dyDescent="0.2">
      <c r="A21">
        <v>20</v>
      </c>
      <c r="B21">
        <v>2</v>
      </c>
      <c r="C21" s="3">
        <v>45771</v>
      </c>
      <c r="E21" t="s">
        <v>119</v>
      </c>
      <c r="F21">
        <v>2</v>
      </c>
      <c r="G21">
        <v>1</v>
      </c>
      <c r="H21">
        <v>1</v>
      </c>
      <c r="I21">
        <v>1</v>
      </c>
      <c r="J21">
        <v>1</v>
      </c>
      <c r="K21">
        <v>0</v>
      </c>
      <c r="L21" s="3">
        <v>45775.52412037037</v>
      </c>
    </row>
    <row r="22" spans="1:12" x14ac:dyDescent="0.2">
      <c r="A22">
        <v>21</v>
      </c>
      <c r="B22">
        <v>3</v>
      </c>
      <c r="C22" s="3">
        <v>45771</v>
      </c>
      <c r="E22" t="s">
        <v>119</v>
      </c>
      <c r="F22">
        <v>2</v>
      </c>
      <c r="G22">
        <v>1</v>
      </c>
      <c r="H22">
        <v>1</v>
      </c>
      <c r="I22">
        <v>1</v>
      </c>
      <c r="J22">
        <v>1</v>
      </c>
      <c r="K22">
        <v>0</v>
      </c>
      <c r="L22" s="3">
        <v>45775.52412037037</v>
      </c>
    </row>
    <row r="23" spans="1:12" x14ac:dyDescent="0.2">
      <c r="A23">
        <v>22</v>
      </c>
      <c r="B23">
        <v>4</v>
      </c>
      <c r="C23" s="3">
        <v>45771</v>
      </c>
      <c r="E23" t="s">
        <v>119</v>
      </c>
      <c r="F23">
        <v>2</v>
      </c>
      <c r="G23">
        <v>1</v>
      </c>
      <c r="H23">
        <v>1</v>
      </c>
      <c r="I23">
        <v>1</v>
      </c>
      <c r="J23">
        <v>1</v>
      </c>
      <c r="K23">
        <v>0</v>
      </c>
      <c r="L23" s="3">
        <v>45775.52412037037</v>
      </c>
    </row>
    <row r="24" spans="1:12" x14ac:dyDescent="0.2">
      <c r="A24">
        <v>23</v>
      </c>
      <c r="B24">
        <v>5</v>
      </c>
      <c r="C24" s="3">
        <v>45771</v>
      </c>
      <c r="E24" t="s">
        <v>119</v>
      </c>
      <c r="F24">
        <v>2</v>
      </c>
      <c r="G24">
        <v>1</v>
      </c>
      <c r="H24">
        <v>1</v>
      </c>
      <c r="I24">
        <v>1</v>
      </c>
      <c r="J24">
        <v>1</v>
      </c>
      <c r="K24">
        <v>0</v>
      </c>
      <c r="L24" s="3">
        <v>45775.52412037037</v>
      </c>
    </row>
    <row r="25" spans="1:12" x14ac:dyDescent="0.2">
      <c r="A25">
        <v>24</v>
      </c>
      <c r="B25">
        <v>6</v>
      </c>
      <c r="C25" s="3">
        <v>45771</v>
      </c>
      <c r="E25" t="s">
        <v>119</v>
      </c>
      <c r="F25">
        <v>2</v>
      </c>
      <c r="G25">
        <v>1</v>
      </c>
      <c r="H25">
        <v>1</v>
      </c>
      <c r="I25">
        <v>1</v>
      </c>
      <c r="J25">
        <v>1</v>
      </c>
      <c r="K25">
        <v>0</v>
      </c>
      <c r="L25" s="3">
        <v>45775.52412037037</v>
      </c>
    </row>
    <row r="26" spans="1:12" x14ac:dyDescent="0.2">
      <c r="A26">
        <v>25</v>
      </c>
      <c r="B26">
        <v>1</v>
      </c>
      <c r="C26" s="3">
        <v>45772</v>
      </c>
      <c r="E26" t="s">
        <v>119</v>
      </c>
      <c r="F26">
        <v>2</v>
      </c>
      <c r="G26">
        <v>1</v>
      </c>
      <c r="H26">
        <v>1</v>
      </c>
      <c r="I26">
        <v>1</v>
      </c>
      <c r="J26">
        <v>1</v>
      </c>
      <c r="K26">
        <v>0</v>
      </c>
      <c r="L26" s="3">
        <v>45775.52412037037</v>
      </c>
    </row>
    <row r="27" spans="1:12" x14ac:dyDescent="0.2">
      <c r="A27">
        <v>26</v>
      </c>
      <c r="B27">
        <v>2</v>
      </c>
      <c r="C27" s="3">
        <v>45772</v>
      </c>
      <c r="E27" t="s">
        <v>119</v>
      </c>
      <c r="F27">
        <v>2</v>
      </c>
      <c r="G27">
        <v>1</v>
      </c>
      <c r="H27">
        <v>1</v>
      </c>
      <c r="I27">
        <v>1</v>
      </c>
      <c r="J27">
        <v>1</v>
      </c>
      <c r="K27">
        <v>0</v>
      </c>
      <c r="L27" s="3">
        <v>45775.52412037037</v>
      </c>
    </row>
    <row r="28" spans="1:12" x14ac:dyDescent="0.2">
      <c r="A28">
        <v>27</v>
      </c>
      <c r="B28">
        <v>3</v>
      </c>
      <c r="C28" s="3">
        <v>45772</v>
      </c>
      <c r="E28" t="s">
        <v>119</v>
      </c>
      <c r="F28">
        <v>2</v>
      </c>
      <c r="G28">
        <v>1</v>
      </c>
      <c r="H28">
        <v>1</v>
      </c>
      <c r="I28">
        <v>1</v>
      </c>
      <c r="J28">
        <v>1</v>
      </c>
      <c r="K28">
        <v>0</v>
      </c>
      <c r="L28" s="3">
        <v>45775.52412037037</v>
      </c>
    </row>
    <row r="29" spans="1:12" x14ac:dyDescent="0.2">
      <c r="A29">
        <v>28</v>
      </c>
      <c r="B29">
        <v>4</v>
      </c>
      <c r="C29" s="3">
        <v>45772</v>
      </c>
      <c r="E29" t="s">
        <v>119</v>
      </c>
      <c r="F29">
        <v>2</v>
      </c>
      <c r="G29">
        <v>1</v>
      </c>
      <c r="H29">
        <v>1</v>
      </c>
      <c r="I29">
        <v>1</v>
      </c>
      <c r="J29">
        <v>1</v>
      </c>
      <c r="K29">
        <v>0</v>
      </c>
      <c r="L29" s="3">
        <v>45775.52412037037</v>
      </c>
    </row>
    <row r="30" spans="1:12" x14ac:dyDescent="0.2">
      <c r="A30">
        <v>29</v>
      </c>
      <c r="B30">
        <v>5</v>
      </c>
      <c r="C30" s="3">
        <v>45772</v>
      </c>
      <c r="E30" t="s">
        <v>119</v>
      </c>
      <c r="F30">
        <v>2</v>
      </c>
      <c r="G30">
        <v>1</v>
      </c>
      <c r="H30">
        <v>1</v>
      </c>
      <c r="I30">
        <v>1</v>
      </c>
      <c r="J30">
        <v>1</v>
      </c>
      <c r="K30">
        <v>0</v>
      </c>
      <c r="L30" s="3">
        <v>45775.52412037037</v>
      </c>
    </row>
    <row r="31" spans="1:12" x14ac:dyDescent="0.2">
      <c r="A31">
        <v>30</v>
      </c>
      <c r="B31">
        <v>6</v>
      </c>
      <c r="C31" s="3">
        <v>45772</v>
      </c>
      <c r="E31" t="s">
        <v>119</v>
      </c>
      <c r="F31">
        <v>2</v>
      </c>
      <c r="G31">
        <v>1</v>
      </c>
      <c r="H31">
        <v>1</v>
      </c>
      <c r="I31">
        <v>1</v>
      </c>
      <c r="J31">
        <v>1</v>
      </c>
      <c r="K31">
        <v>0</v>
      </c>
      <c r="L31" s="3">
        <v>45775.52412037037</v>
      </c>
    </row>
    <row r="32" spans="1:12" x14ac:dyDescent="0.2">
      <c r="A32">
        <v>31</v>
      </c>
      <c r="B32">
        <v>1</v>
      </c>
      <c r="C32" s="3">
        <v>45773</v>
      </c>
      <c r="E32" t="s">
        <v>119</v>
      </c>
      <c r="F32">
        <v>2</v>
      </c>
      <c r="G32">
        <v>1</v>
      </c>
      <c r="H32">
        <v>1</v>
      </c>
      <c r="I32">
        <v>1</v>
      </c>
      <c r="J32">
        <v>1</v>
      </c>
      <c r="K32">
        <v>0</v>
      </c>
      <c r="L32" s="3">
        <v>45775.52412037037</v>
      </c>
    </row>
    <row r="33" spans="1:12" x14ac:dyDescent="0.2">
      <c r="A33">
        <v>32</v>
      </c>
      <c r="B33">
        <v>2</v>
      </c>
      <c r="C33" s="3">
        <v>45773</v>
      </c>
      <c r="E33" t="s">
        <v>119</v>
      </c>
      <c r="F33">
        <v>2</v>
      </c>
      <c r="G33">
        <v>1</v>
      </c>
      <c r="H33">
        <v>1</v>
      </c>
      <c r="I33">
        <v>1</v>
      </c>
      <c r="J33">
        <v>1</v>
      </c>
      <c r="K33">
        <v>0</v>
      </c>
      <c r="L33" s="3">
        <v>45775.52412037037</v>
      </c>
    </row>
    <row r="34" spans="1:12" x14ac:dyDescent="0.2">
      <c r="A34">
        <v>33</v>
      </c>
      <c r="B34">
        <v>3</v>
      </c>
      <c r="C34" s="3">
        <v>45773</v>
      </c>
      <c r="E34" t="s">
        <v>119</v>
      </c>
      <c r="F34">
        <v>2</v>
      </c>
      <c r="G34">
        <v>1</v>
      </c>
      <c r="H34">
        <v>1</v>
      </c>
      <c r="I34">
        <v>1</v>
      </c>
      <c r="J34">
        <v>1</v>
      </c>
      <c r="K34">
        <v>0</v>
      </c>
      <c r="L34" s="3">
        <v>45775.52412037037</v>
      </c>
    </row>
    <row r="35" spans="1:12" x14ac:dyDescent="0.2">
      <c r="A35">
        <v>34</v>
      </c>
      <c r="B35">
        <v>4</v>
      </c>
      <c r="C35" s="3">
        <v>45773</v>
      </c>
      <c r="E35" t="s">
        <v>119</v>
      </c>
      <c r="F35">
        <v>2</v>
      </c>
      <c r="G35">
        <v>1</v>
      </c>
      <c r="H35">
        <v>1</v>
      </c>
      <c r="I35">
        <v>1</v>
      </c>
      <c r="J35">
        <v>1</v>
      </c>
      <c r="K35">
        <v>0</v>
      </c>
      <c r="L35" s="3">
        <v>45775.52412037037</v>
      </c>
    </row>
    <row r="36" spans="1:12" x14ac:dyDescent="0.2">
      <c r="A36">
        <v>35</v>
      </c>
      <c r="B36">
        <v>5</v>
      </c>
      <c r="C36" s="3">
        <v>45773</v>
      </c>
      <c r="E36" t="s">
        <v>119</v>
      </c>
      <c r="F36">
        <v>2</v>
      </c>
      <c r="G36">
        <v>1</v>
      </c>
      <c r="H36">
        <v>1</v>
      </c>
      <c r="I36">
        <v>1</v>
      </c>
      <c r="J36">
        <v>1</v>
      </c>
      <c r="K36">
        <v>0</v>
      </c>
      <c r="L36" s="3">
        <v>45775.52412037037</v>
      </c>
    </row>
    <row r="37" spans="1:12" x14ac:dyDescent="0.2">
      <c r="A37">
        <v>36</v>
      </c>
      <c r="B37">
        <v>6</v>
      </c>
      <c r="C37" s="3">
        <v>45773</v>
      </c>
      <c r="E37" t="s">
        <v>119</v>
      </c>
      <c r="F37">
        <v>2</v>
      </c>
      <c r="G37">
        <v>1</v>
      </c>
      <c r="H37">
        <v>1</v>
      </c>
      <c r="I37">
        <v>1</v>
      </c>
      <c r="J37">
        <v>1</v>
      </c>
      <c r="K37">
        <v>0</v>
      </c>
      <c r="L37" s="3">
        <v>45775.52412037037</v>
      </c>
    </row>
    <row r="38" spans="1:12" x14ac:dyDescent="0.2">
      <c r="A38">
        <v>37</v>
      </c>
      <c r="B38">
        <v>1</v>
      </c>
      <c r="C38" s="3">
        <v>45774</v>
      </c>
      <c r="E38" t="s">
        <v>119</v>
      </c>
      <c r="F38">
        <v>2</v>
      </c>
      <c r="G38">
        <v>1</v>
      </c>
      <c r="H38">
        <v>1</v>
      </c>
      <c r="I38">
        <v>1</v>
      </c>
      <c r="J38">
        <v>1</v>
      </c>
      <c r="K38">
        <v>0</v>
      </c>
      <c r="L38" s="3">
        <v>45775.52412037037</v>
      </c>
    </row>
    <row r="39" spans="1:12" x14ac:dyDescent="0.2">
      <c r="A39">
        <v>38</v>
      </c>
      <c r="B39">
        <v>2</v>
      </c>
      <c r="C39" s="3">
        <v>45774</v>
      </c>
      <c r="E39" t="s">
        <v>119</v>
      </c>
      <c r="F39">
        <v>2</v>
      </c>
      <c r="G39">
        <v>1</v>
      </c>
      <c r="H39">
        <v>1</v>
      </c>
      <c r="I39">
        <v>1</v>
      </c>
      <c r="J39">
        <v>1</v>
      </c>
      <c r="K39">
        <v>0</v>
      </c>
      <c r="L39" s="3">
        <v>45775.52412037037</v>
      </c>
    </row>
    <row r="40" spans="1:12" x14ac:dyDescent="0.2">
      <c r="A40">
        <v>39</v>
      </c>
      <c r="B40">
        <v>3</v>
      </c>
      <c r="C40" s="3">
        <v>45774</v>
      </c>
      <c r="E40" t="s">
        <v>119</v>
      </c>
      <c r="F40">
        <v>2</v>
      </c>
      <c r="G40">
        <v>1</v>
      </c>
      <c r="H40">
        <v>1</v>
      </c>
      <c r="I40">
        <v>1</v>
      </c>
      <c r="J40">
        <v>1</v>
      </c>
      <c r="K40">
        <v>0</v>
      </c>
      <c r="L40" s="3">
        <v>45775.52412037037</v>
      </c>
    </row>
    <row r="41" spans="1:12" x14ac:dyDescent="0.2">
      <c r="A41">
        <v>40</v>
      </c>
      <c r="B41">
        <v>4</v>
      </c>
      <c r="C41" s="3">
        <v>45774</v>
      </c>
      <c r="E41" t="s">
        <v>119</v>
      </c>
      <c r="F41">
        <v>2</v>
      </c>
      <c r="G41">
        <v>1</v>
      </c>
      <c r="H41">
        <v>1</v>
      </c>
      <c r="I41">
        <v>1</v>
      </c>
      <c r="J41">
        <v>1</v>
      </c>
      <c r="K41">
        <v>0</v>
      </c>
      <c r="L41" s="3">
        <v>45775.52412037037</v>
      </c>
    </row>
    <row r="42" spans="1:12" x14ac:dyDescent="0.2">
      <c r="A42">
        <v>41</v>
      </c>
      <c r="B42">
        <v>5</v>
      </c>
      <c r="C42" s="3">
        <v>45774</v>
      </c>
      <c r="E42" t="s">
        <v>119</v>
      </c>
      <c r="F42">
        <v>2</v>
      </c>
      <c r="G42">
        <v>1</v>
      </c>
      <c r="H42">
        <v>1</v>
      </c>
      <c r="I42">
        <v>1</v>
      </c>
      <c r="J42">
        <v>1</v>
      </c>
      <c r="K42">
        <v>0</v>
      </c>
      <c r="L42" s="3">
        <v>45775.52412037037</v>
      </c>
    </row>
    <row r="43" spans="1:12" x14ac:dyDescent="0.2">
      <c r="A43">
        <v>42</v>
      </c>
      <c r="B43">
        <v>6</v>
      </c>
      <c r="C43" s="3">
        <v>45774</v>
      </c>
      <c r="E43" t="s">
        <v>119</v>
      </c>
      <c r="F43">
        <v>2</v>
      </c>
      <c r="G43">
        <v>1</v>
      </c>
      <c r="H43">
        <v>1</v>
      </c>
      <c r="I43">
        <v>1</v>
      </c>
      <c r="J43">
        <v>1</v>
      </c>
      <c r="K43">
        <v>0</v>
      </c>
      <c r="L43" s="3">
        <v>45775.52412037037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7"/>
  <sheetViews>
    <sheetView workbookViewId="0">
      <selection activeCell="H15" sqref="H15"/>
    </sheetView>
  </sheetViews>
  <sheetFormatPr baseColWidth="10" defaultColWidth="8.83203125" defaultRowHeight="15" x14ac:dyDescent="0.2"/>
  <cols>
    <col min="9" max="10" width="17.6640625" bestFit="1" customWidth="1"/>
  </cols>
  <sheetData>
    <row r="1" spans="1:10" x14ac:dyDescent="0.2">
      <c r="A1" s="1" t="s">
        <v>49</v>
      </c>
      <c r="B1" s="1" t="s">
        <v>0</v>
      </c>
      <c r="C1" s="1" t="s">
        <v>105</v>
      </c>
      <c r="D1" s="1" t="s">
        <v>120</v>
      </c>
      <c r="E1" s="1" t="s">
        <v>106</v>
      </c>
      <c r="F1" s="1" t="s">
        <v>107</v>
      </c>
      <c r="G1" s="1" t="s">
        <v>108</v>
      </c>
      <c r="H1" s="1" t="s">
        <v>109</v>
      </c>
      <c r="I1" s="1" t="s">
        <v>10</v>
      </c>
      <c r="J1" s="1" t="s">
        <v>121</v>
      </c>
    </row>
    <row r="2" spans="1:10" x14ac:dyDescent="0.2">
      <c r="A2">
        <v>1</v>
      </c>
      <c r="B2">
        <v>1</v>
      </c>
      <c r="C2" t="s">
        <v>122</v>
      </c>
      <c r="D2" t="s">
        <v>123</v>
      </c>
      <c r="E2" t="s">
        <v>122</v>
      </c>
      <c r="F2" t="s">
        <v>123</v>
      </c>
      <c r="G2" t="s">
        <v>123</v>
      </c>
      <c r="H2" t="s">
        <v>125</v>
      </c>
      <c r="I2" s="3">
        <v>45775.52412037037</v>
      </c>
      <c r="J2" s="3">
        <v>45775.52412037037</v>
      </c>
    </row>
    <row r="3" spans="1:10" x14ac:dyDescent="0.2">
      <c r="A3">
        <v>2</v>
      </c>
      <c r="B3">
        <v>2</v>
      </c>
      <c r="C3" t="s">
        <v>123</v>
      </c>
      <c r="D3" t="s">
        <v>125</v>
      </c>
      <c r="E3" t="s">
        <v>123</v>
      </c>
      <c r="F3" t="s">
        <v>122</v>
      </c>
      <c r="G3" t="s">
        <v>125</v>
      </c>
      <c r="H3" t="s">
        <v>126</v>
      </c>
      <c r="I3" s="3">
        <v>45775.52412037037</v>
      </c>
      <c r="J3" s="3">
        <v>45775.52412037037</v>
      </c>
    </row>
    <row r="4" spans="1:10" x14ac:dyDescent="0.2">
      <c r="A4">
        <v>3</v>
      </c>
      <c r="B4">
        <v>3</v>
      </c>
      <c r="C4" t="s">
        <v>124</v>
      </c>
      <c r="D4" t="s">
        <v>123</v>
      </c>
      <c r="E4" t="s">
        <v>123</v>
      </c>
      <c r="F4" t="s">
        <v>125</v>
      </c>
      <c r="G4" t="s">
        <v>123</v>
      </c>
      <c r="H4" t="s">
        <v>125</v>
      </c>
      <c r="I4" s="3">
        <v>45775.52412037037</v>
      </c>
      <c r="J4" s="3">
        <v>45775.52412037037</v>
      </c>
    </row>
    <row r="5" spans="1:10" x14ac:dyDescent="0.2">
      <c r="A5">
        <v>4</v>
      </c>
      <c r="B5">
        <v>4</v>
      </c>
      <c r="C5" t="s">
        <v>123</v>
      </c>
      <c r="D5" t="s">
        <v>123</v>
      </c>
      <c r="E5" t="s">
        <v>122</v>
      </c>
      <c r="F5" t="s">
        <v>123</v>
      </c>
      <c r="G5" t="s">
        <v>123</v>
      </c>
      <c r="H5" t="s">
        <v>125</v>
      </c>
      <c r="I5" s="3">
        <v>45775.52412037037</v>
      </c>
      <c r="J5" s="3">
        <v>45775.52412037037</v>
      </c>
    </row>
    <row r="6" spans="1:10" x14ac:dyDescent="0.2">
      <c r="A6">
        <v>5</v>
      </c>
      <c r="B6">
        <v>5</v>
      </c>
      <c r="C6" t="s">
        <v>122</v>
      </c>
      <c r="D6" t="s">
        <v>122</v>
      </c>
      <c r="E6" t="s">
        <v>123</v>
      </c>
      <c r="F6" t="s">
        <v>125</v>
      </c>
      <c r="G6" t="s">
        <v>125</v>
      </c>
      <c r="H6" t="s">
        <v>123</v>
      </c>
      <c r="I6" s="3">
        <v>45775.52412037037</v>
      </c>
      <c r="J6" s="3">
        <v>45775.52412037037</v>
      </c>
    </row>
    <row r="7" spans="1:10" x14ac:dyDescent="0.2">
      <c r="A7">
        <v>6</v>
      </c>
      <c r="B7">
        <v>6</v>
      </c>
      <c r="C7" t="s">
        <v>123</v>
      </c>
      <c r="D7" t="s">
        <v>123</v>
      </c>
      <c r="E7" t="s">
        <v>123</v>
      </c>
      <c r="F7" t="s">
        <v>123</v>
      </c>
      <c r="G7" t="s">
        <v>123</v>
      </c>
      <c r="H7" t="s">
        <v>125</v>
      </c>
      <c r="I7" s="3">
        <v>45775.52412037037</v>
      </c>
      <c r="J7" s="3">
        <v>45775.52412037037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B4C5B-1382-ED4F-8769-37812E4E90EC}">
  <dimension ref="A1:Q295"/>
  <sheetViews>
    <sheetView workbookViewId="0">
      <selection activeCell="I10" sqref="I10"/>
    </sheetView>
  </sheetViews>
  <sheetFormatPr baseColWidth="10" defaultRowHeight="15" x14ac:dyDescent="0.2"/>
  <cols>
    <col min="7" max="7" width="10.6640625" bestFit="1" customWidth="1"/>
    <col min="11" max="11" width="13.33203125" bestFit="1" customWidth="1"/>
    <col min="12" max="12" width="13.1640625" bestFit="1" customWidth="1"/>
    <col min="13" max="13" width="14.6640625" bestFit="1" customWidth="1"/>
    <col min="14" max="14" width="4.5" bestFit="1" customWidth="1"/>
    <col min="15" max="15" width="5.6640625" bestFit="1" customWidth="1"/>
    <col min="16" max="16" width="5.1640625" bestFit="1" customWidth="1"/>
    <col min="17" max="17" width="9.5" bestFit="1" customWidth="1"/>
  </cols>
  <sheetData>
    <row r="1" spans="1:17" x14ac:dyDescent="0.2">
      <c r="A1" s="1" t="s">
        <v>0</v>
      </c>
      <c r="B1" s="1" t="s">
        <v>110</v>
      </c>
      <c r="C1" s="1" t="s">
        <v>53</v>
      </c>
      <c r="D1" s="1" t="s">
        <v>111</v>
      </c>
      <c r="E1" s="1" t="s">
        <v>54</v>
      </c>
      <c r="F1" s="1" t="s">
        <v>112</v>
      </c>
      <c r="G1" s="1" t="s">
        <v>113</v>
      </c>
      <c r="H1" s="8" t="s">
        <v>161</v>
      </c>
      <c r="K1" s="14" t="s">
        <v>165</v>
      </c>
      <c r="M1" s="14" t="s">
        <v>54</v>
      </c>
    </row>
    <row r="2" spans="1:17" x14ac:dyDescent="0.2">
      <c r="A2">
        <v>1</v>
      </c>
      <c r="B2">
        <v>1</v>
      </c>
      <c r="C2">
        <v>1</v>
      </c>
      <c r="D2" t="s">
        <v>114</v>
      </c>
      <c r="E2" t="s">
        <v>104</v>
      </c>
      <c r="G2" s="2">
        <v>45768</v>
      </c>
      <c r="H2" t="str">
        <f>VLOOKUP(A2,user!A:L,12,0)</f>
        <v>user1</v>
      </c>
      <c r="K2" s="14" t="s">
        <v>161</v>
      </c>
      <c r="L2" s="14" t="s">
        <v>113</v>
      </c>
      <c r="M2" t="s">
        <v>108</v>
      </c>
      <c r="N2" t="s">
        <v>104</v>
      </c>
      <c r="O2" t="s">
        <v>106</v>
      </c>
      <c r="P2" t="s">
        <v>107</v>
      </c>
      <c r="Q2" t="s">
        <v>105</v>
      </c>
    </row>
    <row r="3" spans="1:17" x14ac:dyDescent="0.2">
      <c r="A3">
        <v>1</v>
      </c>
      <c r="B3">
        <v>9</v>
      </c>
      <c r="C3">
        <v>1</v>
      </c>
      <c r="D3" t="s">
        <v>114</v>
      </c>
      <c r="E3" t="s">
        <v>106</v>
      </c>
      <c r="G3" s="2">
        <v>45768</v>
      </c>
      <c r="H3" t="str">
        <f>VLOOKUP(A3,user!A:L,12,0)</f>
        <v>user1</v>
      </c>
      <c r="K3" t="s">
        <v>43</v>
      </c>
      <c r="L3" s="2">
        <v>45768</v>
      </c>
      <c r="M3" s="15">
        <v>1</v>
      </c>
      <c r="N3" s="15">
        <v>1</v>
      </c>
      <c r="O3" s="15">
        <v>1</v>
      </c>
      <c r="P3" s="15">
        <v>2</v>
      </c>
      <c r="Q3" s="15">
        <v>2</v>
      </c>
    </row>
    <row r="4" spans="1:17" x14ac:dyDescent="0.2">
      <c r="A4">
        <v>1</v>
      </c>
      <c r="B4">
        <v>25</v>
      </c>
      <c r="C4">
        <v>1</v>
      </c>
      <c r="D4" t="s">
        <v>115</v>
      </c>
      <c r="E4" t="s">
        <v>107</v>
      </c>
      <c r="G4" s="2">
        <v>45768</v>
      </c>
      <c r="H4" t="str">
        <f>VLOOKUP(A4,user!A:L,12,0)</f>
        <v>user1</v>
      </c>
      <c r="K4" t="s">
        <v>43</v>
      </c>
      <c r="L4" s="2">
        <v>45769</v>
      </c>
      <c r="M4" s="15">
        <v>1</v>
      </c>
      <c r="N4" s="15">
        <v>1</v>
      </c>
      <c r="O4" s="15">
        <v>1</v>
      </c>
      <c r="P4" s="15">
        <v>2</v>
      </c>
      <c r="Q4" s="15">
        <v>2</v>
      </c>
    </row>
    <row r="5" spans="1:17" x14ac:dyDescent="0.2">
      <c r="A5">
        <v>1</v>
      </c>
      <c r="B5">
        <v>10</v>
      </c>
      <c r="C5">
        <v>1</v>
      </c>
      <c r="D5" t="s">
        <v>115</v>
      </c>
      <c r="E5" t="s">
        <v>105</v>
      </c>
      <c r="G5" s="2">
        <v>45768</v>
      </c>
      <c r="H5" t="str">
        <f>VLOOKUP(A5,user!A:L,12,0)</f>
        <v>user1</v>
      </c>
      <c r="K5" t="s">
        <v>43</v>
      </c>
      <c r="L5" s="2">
        <v>45770</v>
      </c>
      <c r="M5" s="15">
        <v>1</v>
      </c>
      <c r="N5" s="15">
        <v>1</v>
      </c>
      <c r="O5" s="15">
        <v>1</v>
      </c>
      <c r="P5" s="15">
        <v>2</v>
      </c>
      <c r="Q5" s="15">
        <v>2</v>
      </c>
    </row>
    <row r="6" spans="1:17" x14ac:dyDescent="0.2">
      <c r="A6">
        <v>1</v>
      </c>
      <c r="B6">
        <v>17</v>
      </c>
      <c r="C6">
        <v>1</v>
      </c>
      <c r="D6" t="s">
        <v>116</v>
      </c>
      <c r="E6" t="s">
        <v>107</v>
      </c>
      <c r="G6" s="2">
        <v>45768</v>
      </c>
      <c r="H6" t="str">
        <f>VLOOKUP(A6,user!A:L,12,0)</f>
        <v>user1</v>
      </c>
      <c r="K6" t="s">
        <v>43</v>
      </c>
      <c r="L6" s="2">
        <v>45771</v>
      </c>
      <c r="M6" s="15">
        <v>1</v>
      </c>
      <c r="N6" s="15">
        <v>1</v>
      </c>
      <c r="O6" s="15">
        <v>1</v>
      </c>
      <c r="P6" s="15">
        <v>2</v>
      </c>
      <c r="Q6" s="15">
        <v>2</v>
      </c>
    </row>
    <row r="7" spans="1:17" x14ac:dyDescent="0.2">
      <c r="A7">
        <v>1</v>
      </c>
      <c r="B7">
        <v>11</v>
      </c>
      <c r="C7">
        <v>1</v>
      </c>
      <c r="D7" t="s">
        <v>116</v>
      </c>
      <c r="E7" t="s">
        <v>105</v>
      </c>
      <c r="G7" s="2">
        <v>45768</v>
      </c>
      <c r="H7" t="str">
        <f>VLOOKUP(A7,user!A:L,12,0)</f>
        <v>user1</v>
      </c>
      <c r="K7" t="s">
        <v>43</v>
      </c>
      <c r="L7" s="2">
        <v>45772</v>
      </c>
      <c r="M7" s="15">
        <v>1</v>
      </c>
      <c r="N7" s="15">
        <v>1</v>
      </c>
      <c r="O7" s="15">
        <v>1</v>
      </c>
      <c r="P7" s="15">
        <v>2</v>
      </c>
      <c r="Q7" s="15">
        <v>2</v>
      </c>
    </row>
    <row r="8" spans="1:17" x14ac:dyDescent="0.2">
      <c r="A8">
        <v>1</v>
      </c>
      <c r="B8">
        <v>33</v>
      </c>
      <c r="C8">
        <v>1</v>
      </c>
      <c r="D8" t="s">
        <v>117</v>
      </c>
      <c r="E8" t="s">
        <v>108</v>
      </c>
      <c r="G8" s="2">
        <v>45768</v>
      </c>
      <c r="H8" t="str">
        <f>VLOOKUP(A8,user!A:L,12,0)</f>
        <v>user1</v>
      </c>
      <c r="K8" t="s">
        <v>43</v>
      </c>
      <c r="L8" s="2">
        <v>45773</v>
      </c>
      <c r="M8" s="15">
        <v>1</v>
      </c>
      <c r="N8" s="15">
        <v>1</v>
      </c>
      <c r="O8" s="15">
        <v>1</v>
      </c>
      <c r="P8" s="15">
        <v>2</v>
      </c>
      <c r="Q8" s="15">
        <v>2</v>
      </c>
    </row>
    <row r="9" spans="1:17" x14ac:dyDescent="0.2">
      <c r="A9">
        <v>1</v>
      </c>
      <c r="B9">
        <v>2</v>
      </c>
      <c r="C9">
        <v>1</v>
      </c>
      <c r="D9" t="s">
        <v>114</v>
      </c>
      <c r="E9" t="s">
        <v>104</v>
      </c>
      <c r="G9" s="2">
        <v>45769</v>
      </c>
      <c r="H9" t="str">
        <f>VLOOKUP(A9,user!A:L,12,0)</f>
        <v>user1</v>
      </c>
      <c r="K9" t="s">
        <v>43</v>
      </c>
      <c r="L9" s="2">
        <v>45774</v>
      </c>
      <c r="M9" s="15">
        <v>1</v>
      </c>
      <c r="N9" s="15">
        <v>1</v>
      </c>
      <c r="O9" s="15">
        <v>1</v>
      </c>
      <c r="P9" s="15">
        <v>2</v>
      </c>
      <c r="Q9" s="15">
        <v>2</v>
      </c>
    </row>
    <row r="10" spans="1:17" x14ac:dyDescent="0.2">
      <c r="A10">
        <v>1</v>
      </c>
      <c r="B10">
        <v>10</v>
      </c>
      <c r="C10">
        <v>1</v>
      </c>
      <c r="D10" t="s">
        <v>114</v>
      </c>
      <c r="E10" t="s">
        <v>106</v>
      </c>
      <c r="G10" s="2">
        <v>45769</v>
      </c>
      <c r="H10" t="str">
        <f>VLOOKUP(A10,user!A:L,12,0)</f>
        <v>user1</v>
      </c>
      <c r="K10" t="s">
        <v>44</v>
      </c>
      <c r="L10" s="2">
        <v>45768</v>
      </c>
      <c r="M10" s="15">
        <v>1</v>
      </c>
      <c r="N10" s="15">
        <v>1</v>
      </c>
      <c r="O10" s="15">
        <v>1</v>
      </c>
      <c r="P10" s="15">
        <v>2</v>
      </c>
      <c r="Q10" s="15">
        <v>2</v>
      </c>
    </row>
    <row r="11" spans="1:17" x14ac:dyDescent="0.2">
      <c r="A11">
        <v>1</v>
      </c>
      <c r="B11">
        <v>26</v>
      </c>
      <c r="C11">
        <v>1</v>
      </c>
      <c r="D11" t="s">
        <v>115</v>
      </c>
      <c r="E11" t="s">
        <v>107</v>
      </c>
      <c r="G11" s="2">
        <v>45769</v>
      </c>
      <c r="H11" t="str">
        <f>VLOOKUP(A11,user!A:L,12,0)</f>
        <v>user1</v>
      </c>
      <c r="K11" t="s">
        <v>44</v>
      </c>
      <c r="L11" s="2">
        <v>45769</v>
      </c>
      <c r="M11" s="15">
        <v>1</v>
      </c>
      <c r="N11" s="15">
        <v>1</v>
      </c>
      <c r="O11" s="15">
        <v>1</v>
      </c>
      <c r="P11" s="15">
        <v>2</v>
      </c>
      <c r="Q11" s="15">
        <v>2</v>
      </c>
    </row>
    <row r="12" spans="1:17" x14ac:dyDescent="0.2">
      <c r="A12">
        <v>1</v>
      </c>
      <c r="B12">
        <v>11</v>
      </c>
      <c r="C12">
        <v>1</v>
      </c>
      <c r="D12" t="s">
        <v>115</v>
      </c>
      <c r="E12" t="s">
        <v>105</v>
      </c>
      <c r="G12" s="2">
        <v>45769</v>
      </c>
      <c r="H12" t="str">
        <f>VLOOKUP(A12,user!A:L,12,0)</f>
        <v>user1</v>
      </c>
      <c r="K12" t="s">
        <v>44</v>
      </c>
      <c r="L12" s="2">
        <v>45770</v>
      </c>
      <c r="M12" s="15">
        <v>1</v>
      </c>
      <c r="N12" s="15">
        <v>1</v>
      </c>
      <c r="O12" s="15">
        <v>1</v>
      </c>
      <c r="P12" s="15">
        <v>2</v>
      </c>
      <c r="Q12" s="15">
        <v>2</v>
      </c>
    </row>
    <row r="13" spans="1:17" x14ac:dyDescent="0.2">
      <c r="A13">
        <v>1</v>
      </c>
      <c r="B13">
        <v>18</v>
      </c>
      <c r="C13">
        <v>1</v>
      </c>
      <c r="D13" t="s">
        <v>116</v>
      </c>
      <c r="E13" t="s">
        <v>107</v>
      </c>
      <c r="G13" s="2">
        <v>45769</v>
      </c>
      <c r="H13" t="str">
        <f>VLOOKUP(A13,user!A:L,12,0)</f>
        <v>user1</v>
      </c>
      <c r="K13" t="s">
        <v>44</v>
      </c>
      <c r="L13" s="2">
        <v>45771</v>
      </c>
      <c r="M13" s="15">
        <v>1</v>
      </c>
      <c r="N13" s="15">
        <v>1</v>
      </c>
      <c r="O13" s="15">
        <v>1</v>
      </c>
      <c r="P13" s="15">
        <v>2</v>
      </c>
      <c r="Q13" s="15">
        <v>2</v>
      </c>
    </row>
    <row r="14" spans="1:17" x14ac:dyDescent="0.2">
      <c r="A14">
        <v>1</v>
      </c>
      <c r="B14">
        <v>12</v>
      </c>
      <c r="C14">
        <v>1</v>
      </c>
      <c r="D14" t="s">
        <v>116</v>
      </c>
      <c r="E14" t="s">
        <v>105</v>
      </c>
      <c r="G14" s="2">
        <v>45769</v>
      </c>
      <c r="H14" t="str">
        <f>VLOOKUP(A14,user!A:L,12,0)</f>
        <v>user1</v>
      </c>
      <c r="K14" t="s">
        <v>44</v>
      </c>
      <c r="L14" s="2">
        <v>45772</v>
      </c>
      <c r="M14" s="15">
        <v>1</v>
      </c>
      <c r="N14" s="15">
        <v>1</v>
      </c>
      <c r="O14" s="15">
        <v>1</v>
      </c>
      <c r="P14" s="15">
        <v>2</v>
      </c>
      <c r="Q14" s="15">
        <v>2</v>
      </c>
    </row>
    <row r="15" spans="1:17" x14ac:dyDescent="0.2">
      <c r="A15">
        <v>1</v>
      </c>
      <c r="B15">
        <v>34</v>
      </c>
      <c r="C15">
        <v>1</v>
      </c>
      <c r="D15" t="s">
        <v>117</v>
      </c>
      <c r="E15" t="s">
        <v>108</v>
      </c>
      <c r="G15" s="2">
        <v>45769</v>
      </c>
      <c r="H15" t="str">
        <f>VLOOKUP(A15,user!A:L,12,0)</f>
        <v>user1</v>
      </c>
      <c r="K15" t="s">
        <v>44</v>
      </c>
      <c r="L15" s="2">
        <v>45773</v>
      </c>
      <c r="M15" s="15">
        <v>1</v>
      </c>
      <c r="N15" s="15">
        <v>1</v>
      </c>
      <c r="O15" s="15">
        <v>1</v>
      </c>
      <c r="P15" s="15">
        <v>2</v>
      </c>
      <c r="Q15" s="15">
        <v>2</v>
      </c>
    </row>
    <row r="16" spans="1:17" x14ac:dyDescent="0.2">
      <c r="A16">
        <v>1</v>
      </c>
      <c r="B16">
        <v>3</v>
      </c>
      <c r="C16">
        <v>1</v>
      </c>
      <c r="D16" t="s">
        <v>114</v>
      </c>
      <c r="E16" t="s">
        <v>104</v>
      </c>
      <c r="G16" s="2">
        <v>45770</v>
      </c>
      <c r="H16" t="str">
        <f>VLOOKUP(A16,user!A:L,12,0)</f>
        <v>user1</v>
      </c>
      <c r="K16" t="s">
        <v>44</v>
      </c>
      <c r="L16" s="2">
        <v>45774</v>
      </c>
      <c r="M16" s="15">
        <v>1</v>
      </c>
      <c r="N16" s="15">
        <v>1</v>
      </c>
      <c r="O16" s="15">
        <v>1</v>
      </c>
      <c r="P16" s="15">
        <v>2</v>
      </c>
      <c r="Q16" s="15">
        <v>2</v>
      </c>
    </row>
    <row r="17" spans="1:17" x14ac:dyDescent="0.2">
      <c r="A17">
        <v>1</v>
      </c>
      <c r="B17">
        <v>11</v>
      </c>
      <c r="C17">
        <v>1</v>
      </c>
      <c r="D17" t="s">
        <v>114</v>
      </c>
      <c r="E17" t="s">
        <v>106</v>
      </c>
      <c r="G17" s="2">
        <v>45770</v>
      </c>
      <c r="H17" t="str">
        <f>VLOOKUP(A17,user!A:L,12,0)</f>
        <v>user1</v>
      </c>
      <c r="K17" t="s">
        <v>45</v>
      </c>
      <c r="L17" s="2">
        <v>45768</v>
      </c>
      <c r="M17" s="15">
        <v>1</v>
      </c>
      <c r="N17" s="15">
        <v>1</v>
      </c>
      <c r="O17" s="15">
        <v>1</v>
      </c>
      <c r="P17" s="15">
        <v>2</v>
      </c>
      <c r="Q17" s="15">
        <v>2</v>
      </c>
    </row>
    <row r="18" spans="1:17" x14ac:dyDescent="0.2">
      <c r="A18">
        <v>1</v>
      </c>
      <c r="B18">
        <v>27</v>
      </c>
      <c r="C18">
        <v>1</v>
      </c>
      <c r="D18" t="s">
        <v>115</v>
      </c>
      <c r="E18" t="s">
        <v>107</v>
      </c>
      <c r="G18" s="2">
        <v>45770</v>
      </c>
      <c r="H18" t="str">
        <f>VLOOKUP(A18,user!A:L,12,0)</f>
        <v>user1</v>
      </c>
      <c r="K18" t="s">
        <v>45</v>
      </c>
      <c r="L18" s="2">
        <v>45769</v>
      </c>
      <c r="M18" s="15">
        <v>1</v>
      </c>
      <c r="N18" s="15">
        <v>1</v>
      </c>
      <c r="O18" s="15">
        <v>1</v>
      </c>
      <c r="P18" s="15">
        <v>2</v>
      </c>
      <c r="Q18" s="15">
        <v>2</v>
      </c>
    </row>
    <row r="19" spans="1:17" x14ac:dyDescent="0.2">
      <c r="A19">
        <v>1</v>
      </c>
      <c r="B19">
        <v>12</v>
      </c>
      <c r="C19">
        <v>1</v>
      </c>
      <c r="D19" t="s">
        <v>115</v>
      </c>
      <c r="E19" t="s">
        <v>105</v>
      </c>
      <c r="G19" s="2">
        <v>45770</v>
      </c>
      <c r="H19" t="str">
        <f>VLOOKUP(A19,user!A:L,12,0)</f>
        <v>user1</v>
      </c>
      <c r="K19" t="s">
        <v>45</v>
      </c>
      <c r="L19" s="2">
        <v>45770</v>
      </c>
      <c r="M19" s="15">
        <v>1</v>
      </c>
      <c r="N19" s="15">
        <v>1</v>
      </c>
      <c r="O19" s="15">
        <v>1</v>
      </c>
      <c r="P19" s="15">
        <v>2</v>
      </c>
      <c r="Q19" s="15">
        <v>2</v>
      </c>
    </row>
    <row r="20" spans="1:17" x14ac:dyDescent="0.2">
      <c r="A20">
        <v>1</v>
      </c>
      <c r="B20">
        <v>19</v>
      </c>
      <c r="C20">
        <v>1</v>
      </c>
      <c r="D20" t="s">
        <v>116</v>
      </c>
      <c r="E20" t="s">
        <v>107</v>
      </c>
      <c r="G20" s="2">
        <v>45770</v>
      </c>
      <c r="H20" t="str">
        <f>VLOOKUP(A20,user!A:L,12,0)</f>
        <v>user1</v>
      </c>
      <c r="K20" t="s">
        <v>45</v>
      </c>
      <c r="L20" s="2">
        <v>45771</v>
      </c>
      <c r="M20" s="15">
        <v>1</v>
      </c>
      <c r="N20" s="15">
        <v>1</v>
      </c>
      <c r="O20" s="15">
        <v>1</v>
      </c>
      <c r="P20" s="15">
        <v>2</v>
      </c>
      <c r="Q20" s="15">
        <v>2</v>
      </c>
    </row>
    <row r="21" spans="1:17" x14ac:dyDescent="0.2">
      <c r="A21">
        <v>1</v>
      </c>
      <c r="B21">
        <v>13</v>
      </c>
      <c r="C21">
        <v>1</v>
      </c>
      <c r="D21" t="s">
        <v>116</v>
      </c>
      <c r="E21" t="s">
        <v>105</v>
      </c>
      <c r="G21" s="2">
        <v>45770</v>
      </c>
      <c r="H21" t="str">
        <f>VLOOKUP(A21,user!A:L,12,0)</f>
        <v>user1</v>
      </c>
      <c r="K21" t="s">
        <v>45</v>
      </c>
      <c r="L21" s="2">
        <v>45772</v>
      </c>
      <c r="M21" s="15">
        <v>1</v>
      </c>
      <c r="N21" s="15">
        <v>1</v>
      </c>
      <c r="O21" s="15">
        <v>1</v>
      </c>
      <c r="P21" s="15">
        <v>2</v>
      </c>
      <c r="Q21" s="15">
        <v>2</v>
      </c>
    </row>
    <row r="22" spans="1:17" x14ac:dyDescent="0.2">
      <c r="A22">
        <v>1</v>
      </c>
      <c r="B22">
        <v>35</v>
      </c>
      <c r="C22">
        <v>1</v>
      </c>
      <c r="D22" t="s">
        <v>117</v>
      </c>
      <c r="E22" t="s">
        <v>108</v>
      </c>
      <c r="G22" s="2">
        <v>45770</v>
      </c>
      <c r="H22" t="str">
        <f>VLOOKUP(A22,user!A:L,12,0)</f>
        <v>user1</v>
      </c>
      <c r="K22" t="s">
        <v>45</v>
      </c>
      <c r="L22" s="2">
        <v>45773</v>
      </c>
      <c r="M22" s="15">
        <v>1</v>
      </c>
      <c r="N22" s="15">
        <v>1</v>
      </c>
      <c r="O22" s="15">
        <v>1</v>
      </c>
      <c r="P22" s="15">
        <v>2</v>
      </c>
      <c r="Q22" s="15">
        <v>2</v>
      </c>
    </row>
    <row r="23" spans="1:17" x14ac:dyDescent="0.2">
      <c r="A23">
        <v>1</v>
      </c>
      <c r="B23">
        <v>4</v>
      </c>
      <c r="C23">
        <v>1</v>
      </c>
      <c r="D23" t="s">
        <v>114</v>
      </c>
      <c r="E23" t="s">
        <v>104</v>
      </c>
      <c r="G23" s="2">
        <v>45771</v>
      </c>
      <c r="H23" t="str">
        <f>VLOOKUP(A23,user!A:L,12,0)</f>
        <v>user1</v>
      </c>
      <c r="K23" t="s">
        <v>45</v>
      </c>
      <c r="L23" s="2">
        <v>45774</v>
      </c>
      <c r="M23" s="15">
        <v>1</v>
      </c>
      <c r="N23" s="15">
        <v>1</v>
      </c>
      <c r="O23" s="15">
        <v>1</v>
      </c>
      <c r="P23" s="15">
        <v>2</v>
      </c>
      <c r="Q23" s="15">
        <v>2</v>
      </c>
    </row>
    <row r="24" spans="1:17" x14ac:dyDescent="0.2">
      <c r="A24">
        <v>1</v>
      </c>
      <c r="B24">
        <v>12</v>
      </c>
      <c r="C24">
        <v>1</v>
      </c>
      <c r="D24" t="s">
        <v>114</v>
      </c>
      <c r="E24" t="s">
        <v>106</v>
      </c>
      <c r="G24" s="2">
        <v>45771</v>
      </c>
      <c r="H24" t="str">
        <f>VLOOKUP(A24,user!A:L,12,0)</f>
        <v>user1</v>
      </c>
      <c r="K24" t="s">
        <v>46</v>
      </c>
      <c r="L24" s="2">
        <v>45768</v>
      </c>
      <c r="M24" s="15">
        <v>1</v>
      </c>
      <c r="N24" s="15">
        <v>1</v>
      </c>
      <c r="O24" s="15">
        <v>1</v>
      </c>
      <c r="P24" s="15">
        <v>2</v>
      </c>
      <c r="Q24" s="15">
        <v>2</v>
      </c>
    </row>
    <row r="25" spans="1:17" x14ac:dyDescent="0.2">
      <c r="A25">
        <v>1</v>
      </c>
      <c r="B25">
        <v>28</v>
      </c>
      <c r="C25">
        <v>1</v>
      </c>
      <c r="D25" t="s">
        <v>115</v>
      </c>
      <c r="E25" t="s">
        <v>107</v>
      </c>
      <c r="G25" s="2">
        <v>45771</v>
      </c>
      <c r="H25" t="str">
        <f>VLOOKUP(A25,user!A:L,12,0)</f>
        <v>user1</v>
      </c>
      <c r="K25" t="s">
        <v>46</v>
      </c>
      <c r="L25" s="2">
        <v>45769</v>
      </c>
      <c r="M25" s="15">
        <v>1</v>
      </c>
      <c r="N25" s="15">
        <v>1</v>
      </c>
      <c r="O25" s="15">
        <v>1</v>
      </c>
      <c r="P25" s="15">
        <v>2</v>
      </c>
      <c r="Q25" s="15">
        <v>2</v>
      </c>
    </row>
    <row r="26" spans="1:17" x14ac:dyDescent="0.2">
      <c r="A26">
        <v>1</v>
      </c>
      <c r="B26">
        <v>13</v>
      </c>
      <c r="C26">
        <v>1</v>
      </c>
      <c r="D26" t="s">
        <v>115</v>
      </c>
      <c r="E26" t="s">
        <v>105</v>
      </c>
      <c r="G26" s="2">
        <v>45771</v>
      </c>
      <c r="H26" t="str">
        <f>VLOOKUP(A26,user!A:L,12,0)</f>
        <v>user1</v>
      </c>
      <c r="K26" t="s">
        <v>46</v>
      </c>
      <c r="L26" s="2">
        <v>45770</v>
      </c>
      <c r="M26" s="15">
        <v>1</v>
      </c>
      <c r="N26" s="15">
        <v>1</v>
      </c>
      <c r="O26" s="15">
        <v>1</v>
      </c>
      <c r="P26" s="15">
        <v>2</v>
      </c>
      <c r="Q26" s="15">
        <v>2</v>
      </c>
    </row>
    <row r="27" spans="1:17" x14ac:dyDescent="0.2">
      <c r="A27">
        <v>1</v>
      </c>
      <c r="B27">
        <v>20</v>
      </c>
      <c r="C27">
        <v>1</v>
      </c>
      <c r="D27" t="s">
        <v>116</v>
      </c>
      <c r="E27" t="s">
        <v>107</v>
      </c>
      <c r="G27" s="2">
        <v>45771</v>
      </c>
      <c r="H27" t="str">
        <f>VLOOKUP(A27,user!A:L,12,0)</f>
        <v>user1</v>
      </c>
      <c r="K27" t="s">
        <v>46</v>
      </c>
      <c r="L27" s="2">
        <v>45771</v>
      </c>
      <c r="M27" s="15">
        <v>1</v>
      </c>
      <c r="N27" s="15">
        <v>1</v>
      </c>
      <c r="O27" s="15">
        <v>1</v>
      </c>
      <c r="P27" s="15">
        <v>2</v>
      </c>
      <c r="Q27" s="15">
        <v>2</v>
      </c>
    </row>
    <row r="28" spans="1:17" x14ac:dyDescent="0.2">
      <c r="A28">
        <v>1</v>
      </c>
      <c r="B28">
        <v>14</v>
      </c>
      <c r="C28">
        <v>1</v>
      </c>
      <c r="D28" t="s">
        <v>116</v>
      </c>
      <c r="E28" t="s">
        <v>105</v>
      </c>
      <c r="G28" s="2">
        <v>45771</v>
      </c>
      <c r="H28" t="str">
        <f>VLOOKUP(A28,user!A:L,12,0)</f>
        <v>user1</v>
      </c>
      <c r="K28" t="s">
        <v>46</v>
      </c>
      <c r="L28" s="2">
        <v>45772</v>
      </c>
      <c r="M28" s="15">
        <v>1</v>
      </c>
      <c r="N28" s="15">
        <v>1</v>
      </c>
      <c r="O28" s="15">
        <v>1</v>
      </c>
      <c r="P28" s="15">
        <v>2</v>
      </c>
      <c r="Q28" s="15">
        <v>2</v>
      </c>
    </row>
    <row r="29" spans="1:17" x14ac:dyDescent="0.2">
      <c r="A29">
        <v>1</v>
      </c>
      <c r="B29">
        <v>36</v>
      </c>
      <c r="C29">
        <v>1</v>
      </c>
      <c r="D29" t="s">
        <v>117</v>
      </c>
      <c r="E29" t="s">
        <v>108</v>
      </c>
      <c r="G29" s="2">
        <v>45771</v>
      </c>
      <c r="H29" t="str">
        <f>VLOOKUP(A29,user!A:L,12,0)</f>
        <v>user1</v>
      </c>
      <c r="K29" t="s">
        <v>46</v>
      </c>
      <c r="L29" s="2">
        <v>45773</v>
      </c>
      <c r="M29" s="15">
        <v>1</v>
      </c>
      <c r="N29" s="15">
        <v>1</v>
      </c>
      <c r="O29" s="15">
        <v>1</v>
      </c>
      <c r="P29" s="15">
        <v>2</v>
      </c>
      <c r="Q29" s="15">
        <v>2</v>
      </c>
    </row>
    <row r="30" spans="1:17" x14ac:dyDescent="0.2">
      <c r="A30">
        <v>1</v>
      </c>
      <c r="B30">
        <v>5</v>
      </c>
      <c r="C30">
        <v>1</v>
      </c>
      <c r="D30" t="s">
        <v>114</v>
      </c>
      <c r="E30" t="s">
        <v>104</v>
      </c>
      <c r="G30" s="2">
        <v>45772</v>
      </c>
      <c r="H30" t="str">
        <f>VLOOKUP(A30,user!A:L,12,0)</f>
        <v>user1</v>
      </c>
      <c r="K30" t="s">
        <v>46</v>
      </c>
      <c r="L30" s="2">
        <v>45774</v>
      </c>
      <c r="M30" s="15">
        <v>1</v>
      </c>
      <c r="N30" s="15">
        <v>1</v>
      </c>
      <c r="O30" s="15">
        <v>1</v>
      </c>
      <c r="P30" s="15">
        <v>2</v>
      </c>
      <c r="Q30" s="15">
        <v>2</v>
      </c>
    </row>
    <row r="31" spans="1:17" x14ac:dyDescent="0.2">
      <c r="A31">
        <v>1</v>
      </c>
      <c r="B31">
        <v>13</v>
      </c>
      <c r="C31">
        <v>1</v>
      </c>
      <c r="D31" t="s">
        <v>114</v>
      </c>
      <c r="E31" t="s">
        <v>106</v>
      </c>
      <c r="G31" s="2">
        <v>45772</v>
      </c>
      <c r="H31" t="str">
        <f>VLOOKUP(A31,user!A:L,12,0)</f>
        <v>user1</v>
      </c>
      <c r="K31" t="s">
        <v>47</v>
      </c>
      <c r="L31" s="2">
        <v>45768</v>
      </c>
      <c r="M31" s="15">
        <v>1</v>
      </c>
      <c r="N31" s="15">
        <v>1</v>
      </c>
      <c r="O31" s="15">
        <v>1</v>
      </c>
      <c r="P31" s="15">
        <v>2</v>
      </c>
      <c r="Q31" s="15">
        <v>2</v>
      </c>
    </row>
    <row r="32" spans="1:17" x14ac:dyDescent="0.2">
      <c r="A32">
        <v>1</v>
      </c>
      <c r="B32">
        <v>29</v>
      </c>
      <c r="C32">
        <v>1</v>
      </c>
      <c r="D32" t="s">
        <v>115</v>
      </c>
      <c r="E32" t="s">
        <v>107</v>
      </c>
      <c r="G32" s="2">
        <v>45772</v>
      </c>
      <c r="H32" t="str">
        <f>VLOOKUP(A32,user!A:L,12,0)</f>
        <v>user1</v>
      </c>
      <c r="K32" t="s">
        <v>47</v>
      </c>
      <c r="L32" s="2">
        <v>45769</v>
      </c>
      <c r="M32" s="15">
        <v>1</v>
      </c>
      <c r="N32" s="15">
        <v>1</v>
      </c>
      <c r="O32" s="15">
        <v>1</v>
      </c>
      <c r="P32" s="15">
        <v>2</v>
      </c>
      <c r="Q32" s="15">
        <v>2</v>
      </c>
    </row>
    <row r="33" spans="1:17" x14ac:dyDescent="0.2">
      <c r="A33">
        <v>1</v>
      </c>
      <c r="B33">
        <v>14</v>
      </c>
      <c r="C33">
        <v>1</v>
      </c>
      <c r="D33" t="s">
        <v>115</v>
      </c>
      <c r="E33" t="s">
        <v>105</v>
      </c>
      <c r="G33" s="2">
        <v>45772</v>
      </c>
      <c r="H33" t="str">
        <f>VLOOKUP(A33,user!A:L,12,0)</f>
        <v>user1</v>
      </c>
      <c r="K33" t="s">
        <v>47</v>
      </c>
      <c r="L33" s="2">
        <v>45770</v>
      </c>
      <c r="M33" s="15">
        <v>1</v>
      </c>
      <c r="N33" s="15">
        <v>1</v>
      </c>
      <c r="O33" s="15">
        <v>1</v>
      </c>
      <c r="P33" s="15">
        <v>2</v>
      </c>
      <c r="Q33" s="15">
        <v>2</v>
      </c>
    </row>
    <row r="34" spans="1:17" x14ac:dyDescent="0.2">
      <c r="A34">
        <v>1</v>
      </c>
      <c r="B34">
        <v>21</v>
      </c>
      <c r="C34">
        <v>1</v>
      </c>
      <c r="D34" t="s">
        <v>116</v>
      </c>
      <c r="E34" t="s">
        <v>107</v>
      </c>
      <c r="G34" s="2">
        <v>45772</v>
      </c>
      <c r="H34" t="str">
        <f>VLOOKUP(A34,user!A:L,12,0)</f>
        <v>user1</v>
      </c>
      <c r="K34" t="s">
        <v>47</v>
      </c>
      <c r="L34" s="2">
        <v>45771</v>
      </c>
      <c r="M34" s="15">
        <v>1</v>
      </c>
      <c r="N34" s="15">
        <v>1</v>
      </c>
      <c r="O34" s="15">
        <v>1</v>
      </c>
      <c r="P34" s="15">
        <v>2</v>
      </c>
      <c r="Q34" s="15">
        <v>2</v>
      </c>
    </row>
    <row r="35" spans="1:17" x14ac:dyDescent="0.2">
      <c r="A35">
        <v>1</v>
      </c>
      <c r="B35">
        <v>15</v>
      </c>
      <c r="C35">
        <v>1</v>
      </c>
      <c r="D35" t="s">
        <v>116</v>
      </c>
      <c r="E35" t="s">
        <v>105</v>
      </c>
      <c r="G35" s="2">
        <v>45772</v>
      </c>
      <c r="H35" t="str">
        <f>VLOOKUP(A35,user!A:L,12,0)</f>
        <v>user1</v>
      </c>
      <c r="K35" t="s">
        <v>47</v>
      </c>
      <c r="L35" s="2">
        <v>45772</v>
      </c>
      <c r="M35" s="15">
        <v>1</v>
      </c>
      <c r="N35" s="15">
        <v>1</v>
      </c>
      <c r="O35" s="15">
        <v>1</v>
      </c>
      <c r="P35" s="15">
        <v>2</v>
      </c>
      <c r="Q35" s="15">
        <v>2</v>
      </c>
    </row>
    <row r="36" spans="1:17" x14ac:dyDescent="0.2">
      <c r="A36">
        <v>1</v>
      </c>
      <c r="B36">
        <v>37</v>
      </c>
      <c r="C36">
        <v>1</v>
      </c>
      <c r="D36" t="s">
        <v>117</v>
      </c>
      <c r="E36" t="s">
        <v>108</v>
      </c>
      <c r="G36" s="2">
        <v>45772</v>
      </c>
      <c r="H36" t="str">
        <f>VLOOKUP(A36,user!A:L,12,0)</f>
        <v>user1</v>
      </c>
      <c r="K36" t="s">
        <v>47</v>
      </c>
      <c r="L36" s="2">
        <v>45773</v>
      </c>
      <c r="M36" s="15">
        <v>1</v>
      </c>
      <c r="N36" s="15">
        <v>1</v>
      </c>
      <c r="O36" s="15">
        <v>1</v>
      </c>
      <c r="P36" s="15">
        <v>2</v>
      </c>
      <c r="Q36" s="15">
        <v>2</v>
      </c>
    </row>
    <row r="37" spans="1:17" x14ac:dyDescent="0.2">
      <c r="A37">
        <v>1</v>
      </c>
      <c r="B37">
        <v>6</v>
      </c>
      <c r="C37">
        <v>1</v>
      </c>
      <c r="D37" t="s">
        <v>114</v>
      </c>
      <c r="E37" t="s">
        <v>104</v>
      </c>
      <c r="G37" s="2">
        <v>45773</v>
      </c>
      <c r="H37" t="str">
        <f>VLOOKUP(A37,user!A:L,12,0)</f>
        <v>user1</v>
      </c>
      <c r="K37" t="s">
        <v>47</v>
      </c>
      <c r="L37" s="2">
        <v>45774</v>
      </c>
      <c r="M37" s="15">
        <v>1</v>
      </c>
      <c r="N37" s="15">
        <v>1</v>
      </c>
      <c r="O37" s="15">
        <v>1</v>
      </c>
      <c r="P37" s="15">
        <v>2</v>
      </c>
      <c r="Q37" s="15">
        <v>2</v>
      </c>
    </row>
    <row r="38" spans="1:17" x14ac:dyDescent="0.2">
      <c r="A38">
        <v>1</v>
      </c>
      <c r="B38">
        <v>14</v>
      </c>
      <c r="C38">
        <v>1</v>
      </c>
      <c r="D38" t="s">
        <v>114</v>
      </c>
      <c r="E38" t="s">
        <v>106</v>
      </c>
      <c r="G38" s="2">
        <v>45773</v>
      </c>
      <c r="H38" t="str">
        <f>VLOOKUP(A38,user!A:L,12,0)</f>
        <v>user1</v>
      </c>
      <c r="K38" t="s">
        <v>48</v>
      </c>
      <c r="L38" s="2">
        <v>45768</v>
      </c>
      <c r="M38" s="15">
        <v>1</v>
      </c>
      <c r="N38" s="15">
        <v>1</v>
      </c>
      <c r="O38" s="15">
        <v>1</v>
      </c>
      <c r="P38" s="15">
        <v>2</v>
      </c>
      <c r="Q38" s="15">
        <v>2</v>
      </c>
    </row>
    <row r="39" spans="1:17" x14ac:dyDescent="0.2">
      <c r="A39">
        <v>1</v>
      </c>
      <c r="B39">
        <v>30</v>
      </c>
      <c r="C39">
        <v>1</v>
      </c>
      <c r="D39" t="s">
        <v>115</v>
      </c>
      <c r="E39" t="s">
        <v>107</v>
      </c>
      <c r="G39" s="2">
        <v>45773</v>
      </c>
      <c r="H39" t="str">
        <f>VLOOKUP(A39,user!A:L,12,0)</f>
        <v>user1</v>
      </c>
      <c r="K39" t="s">
        <v>48</v>
      </c>
      <c r="L39" s="2">
        <v>45769</v>
      </c>
      <c r="M39" s="15">
        <v>1</v>
      </c>
      <c r="N39" s="15">
        <v>1</v>
      </c>
      <c r="O39" s="15">
        <v>1</v>
      </c>
      <c r="P39" s="15">
        <v>2</v>
      </c>
      <c r="Q39" s="15">
        <v>2</v>
      </c>
    </row>
    <row r="40" spans="1:17" x14ac:dyDescent="0.2">
      <c r="A40">
        <v>1</v>
      </c>
      <c r="B40">
        <v>15</v>
      </c>
      <c r="C40">
        <v>1</v>
      </c>
      <c r="D40" t="s">
        <v>115</v>
      </c>
      <c r="E40" t="s">
        <v>105</v>
      </c>
      <c r="G40" s="2">
        <v>45773</v>
      </c>
      <c r="H40" t="str">
        <f>VLOOKUP(A40,user!A:L,12,0)</f>
        <v>user1</v>
      </c>
      <c r="K40" t="s">
        <v>48</v>
      </c>
      <c r="L40" s="2">
        <v>45770</v>
      </c>
      <c r="M40" s="15">
        <v>1</v>
      </c>
      <c r="N40" s="15">
        <v>1</v>
      </c>
      <c r="O40" s="15">
        <v>1</v>
      </c>
      <c r="P40" s="15">
        <v>2</v>
      </c>
      <c r="Q40" s="15">
        <v>2</v>
      </c>
    </row>
    <row r="41" spans="1:17" x14ac:dyDescent="0.2">
      <c r="A41">
        <v>1</v>
      </c>
      <c r="B41">
        <v>22</v>
      </c>
      <c r="C41">
        <v>1</v>
      </c>
      <c r="D41" t="s">
        <v>116</v>
      </c>
      <c r="E41" t="s">
        <v>107</v>
      </c>
      <c r="G41" s="2">
        <v>45773</v>
      </c>
      <c r="H41" t="str">
        <f>VLOOKUP(A41,user!A:L,12,0)</f>
        <v>user1</v>
      </c>
      <c r="K41" t="s">
        <v>48</v>
      </c>
      <c r="L41" s="2">
        <v>45771</v>
      </c>
      <c r="M41" s="15">
        <v>1</v>
      </c>
      <c r="N41" s="15">
        <v>1</v>
      </c>
      <c r="O41" s="15">
        <v>1</v>
      </c>
      <c r="P41" s="15">
        <v>2</v>
      </c>
      <c r="Q41" s="15">
        <v>2</v>
      </c>
    </row>
    <row r="42" spans="1:17" x14ac:dyDescent="0.2">
      <c r="A42">
        <v>1</v>
      </c>
      <c r="B42">
        <v>16</v>
      </c>
      <c r="C42">
        <v>1</v>
      </c>
      <c r="D42" t="s">
        <v>116</v>
      </c>
      <c r="E42" t="s">
        <v>105</v>
      </c>
      <c r="G42" s="2">
        <v>45773</v>
      </c>
      <c r="H42" t="str">
        <f>VLOOKUP(A42,user!A:L,12,0)</f>
        <v>user1</v>
      </c>
      <c r="K42" t="s">
        <v>48</v>
      </c>
      <c r="L42" s="2">
        <v>45772</v>
      </c>
      <c r="M42" s="15">
        <v>1</v>
      </c>
      <c r="N42" s="15">
        <v>1</v>
      </c>
      <c r="O42" s="15">
        <v>1</v>
      </c>
      <c r="P42" s="15">
        <v>2</v>
      </c>
      <c r="Q42" s="15">
        <v>2</v>
      </c>
    </row>
    <row r="43" spans="1:17" x14ac:dyDescent="0.2">
      <c r="A43">
        <v>1</v>
      </c>
      <c r="B43">
        <v>38</v>
      </c>
      <c r="C43">
        <v>1</v>
      </c>
      <c r="D43" t="s">
        <v>117</v>
      </c>
      <c r="E43" t="s">
        <v>108</v>
      </c>
      <c r="G43" s="2">
        <v>45773</v>
      </c>
      <c r="H43" t="str">
        <f>VLOOKUP(A43,user!A:L,12,0)</f>
        <v>user1</v>
      </c>
      <c r="K43" t="s">
        <v>48</v>
      </c>
      <c r="L43" s="2">
        <v>45773</v>
      </c>
      <c r="M43" s="15">
        <v>1</v>
      </c>
      <c r="N43" s="15">
        <v>1</v>
      </c>
      <c r="O43" s="15">
        <v>1</v>
      </c>
      <c r="P43" s="15">
        <v>2</v>
      </c>
      <c r="Q43" s="15">
        <v>2</v>
      </c>
    </row>
    <row r="44" spans="1:17" x14ac:dyDescent="0.2">
      <c r="A44">
        <v>1</v>
      </c>
      <c r="B44">
        <v>7</v>
      </c>
      <c r="C44">
        <v>1</v>
      </c>
      <c r="D44" t="s">
        <v>114</v>
      </c>
      <c r="E44" t="s">
        <v>104</v>
      </c>
      <c r="G44" s="2">
        <v>45774</v>
      </c>
      <c r="H44" t="str">
        <f>VLOOKUP(A44,user!A:L,12,0)</f>
        <v>user1</v>
      </c>
      <c r="K44" t="s">
        <v>48</v>
      </c>
      <c r="L44" s="2">
        <v>45774</v>
      </c>
      <c r="M44" s="15">
        <v>1</v>
      </c>
      <c r="N44" s="15">
        <v>1</v>
      </c>
      <c r="O44" s="15">
        <v>1</v>
      </c>
      <c r="P44" s="15">
        <v>2</v>
      </c>
      <c r="Q44" s="15">
        <v>2</v>
      </c>
    </row>
    <row r="45" spans="1:17" x14ac:dyDescent="0.2">
      <c r="A45">
        <v>1</v>
      </c>
      <c r="B45">
        <v>15</v>
      </c>
      <c r="C45">
        <v>1</v>
      </c>
      <c r="D45" t="s">
        <v>114</v>
      </c>
      <c r="E45" t="s">
        <v>106</v>
      </c>
      <c r="G45" s="2">
        <v>45774</v>
      </c>
      <c r="H45" t="str">
        <f>VLOOKUP(A45,user!A:L,12,0)</f>
        <v>user1</v>
      </c>
    </row>
    <row r="46" spans="1:17" x14ac:dyDescent="0.2">
      <c r="A46">
        <v>1</v>
      </c>
      <c r="B46">
        <v>31</v>
      </c>
      <c r="C46">
        <v>1</v>
      </c>
      <c r="D46" t="s">
        <v>115</v>
      </c>
      <c r="E46" t="s">
        <v>107</v>
      </c>
      <c r="G46" s="2">
        <v>45774</v>
      </c>
      <c r="H46" t="str">
        <f>VLOOKUP(A46,user!A:L,12,0)</f>
        <v>user1</v>
      </c>
    </row>
    <row r="47" spans="1:17" x14ac:dyDescent="0.2">
      <c r="A47">
        <v>1</v>
      </c>
      <c r="B47">
        <v>16</v>
      </c>
      <c r="C47">
        <v>1</v>
      </c>
      <c r="D47" t="s">
        <v>115</v>
      </c>
      <c r="E47" t="s">
        <v>105</v>
      </c>
      <c r="G47" s="2">
        <v>45774</v>
      </c>
      <c r="H47" t="str">
        <f>VLOOKUP(A47,user!A:L,12,0)</f>
        <v>user1</v>
      </c>
    </row>
    <row r="48" spans="1:17" x14ac:dyDescent="0.2">
      <c r="A48">
        <v>1</v>
      </c>
      <c r="B48">
        <v>23</v>
      </c>
      <c r="C48">
        <v>1</v>
      </c>
      <c r="D48" t="s">
        <v>116</v>
      </c>
      <c r="E48" t="s">
        <v>107</v>
      </c>
      <c r="G48" s="2">
        <v>45774</v>
      </c>
      <c r="H48" t="str">
        <f>VLOOKUP(A48,user!A:L,12,0)</f>
        <v>user1</v>
      </c>
    </row>
    <row r="49" spans="1:8" x14ac:dyDescent="0.2">
      <c r="A49">
        <v>1</v>
      </c>
      <c r="B49">
        <v>9</v>
      </c>
      <c r="C49">
        <v>1</v>
      </c>
      <c r="D49" t="s">
        <v>116</v>
      </c>
      <c r="E49" t="s">
        <v>105</v>
      </c>
      <c r="G49" s="2">
        <v>45774</v>
      </c>
      <c r="H49" t="str">
        <f>VLOOKUP(A49,user!A:L,12,0)</f>
        <v>user1</v>
      </c>
    </row>
    <row r="50" spans="1:8" x14ac:dyDescent="0.2">
      <c r="A50">
        <v>1</v>
      </c>
      <c r="B50">
        <v>32</v>
      </c>
      <c r="C50">
        <v>1</v>
      </c>
      <c r="D50" t="s">
        <v>117</v>
      </c>
      <c r="E50" t="s">
        <v>108</v>
      </c>
      <c r="G50" s="2">
        <v>45774</v>
      </c>
      <c r="H50" t="str">
        <f>VLOOKUP(A50,user!A:L,12,0)</f>
        <v>user1</v>
      </c>
    </row>
    <row r="51" spans="1:8" x14ac:dyDescent="0.2">
      <c r="A51">
        <v>2</v>
      </c>
      <c r="B51">
        <v>2</v>
      </c>
      <c r="C51">
        <v>1</v>
      </c>
      <c r="D51" t="s">
        <v>114</v>
      </c>
      <c r="E51" t="s">
        <v>104</v>
      </c>
      <c r="G51" s="2">
        <v>45768</v>
      </c>
      <c r="H51" t="str">
        <f>VLOOKUP(A51,user!A:L,12,0)</f>
        <v>user2</v>
      </c>
    </row>
    <row r="52" spans="1:8" x14ac:dyDescent="0.2">
      <c r="A52">
        <v>2</v>
      </c>
      <c r="B52">
        <v>10</v>
      </c>
      <c r="C52">
        <v>1</v>
      </c>
      <c r="D52" t="s">
        <v>114</v>
      </c>
      <c r="E52" t="s">
        <v>106</v>
      </c>
      <c r="G52" s="2">
        <v>45768</v>
      </c>
      <c r="H52" t="str">
        <f>VLOOKUP(A52,user!A:L,12,0)</f>
        <v>user2</v>
      </c>
    </row>
    <row r="53" spans="1:8" x14ac:dyDescent="0.2">
      <c r="A53">
        <v>2</v>
      </c>
      <c r="B53">
        <v>26</v>
      </c>
      <c r="C53">
        <v>1</v>
      </c>
      <c r="D53" t="s">
        <v>115</v>
      </c>
      <c r="E53" t="s">
        <v>107</v>
      </c>
      <c r="G53" s="2">
        <v>45768</v>
      </c>
      <c r="H53" t="str">
        <f>VLOOKUP(A53,user!A:L,12,0)</f>
        <v>user2</v>
      </c>
    </row>
    <row r="54" spans="1:8" x14ac:dyDescent="0.2">
      <c r="A54">
        <v>2</v>
      </c>
      <c r="B54">
        <v>11</v>
      </c>
      <c r="C54">
        <v>1</v>
      </c>
      <c r="D54" t="s">
        <v>115</v>
      </c>
      <c r="E54" t="s">
        <v>105</v>
      </c>
      <c r="G54" s="2">
        <v>45768</v>
      </c>
      <c r="H54" t="str">
        <f>VLOOKUP(A54,user!A:L,12,0)</f>
        <v>user2</v>
      </c>
    </row>
    <row r="55" spans="1:8" x14ac:dyDescent="0.2">
      <c r="A55">
        <v>2</v>
      </c>
      <c r="B55">
        <v>18</v>
      </c>
      <c r="C55">
        <v>1</v>
      </c>
      <c r="D55" t="s">
        <v>116</v>
      </c>
      <c r="E55" t="s">
        <v>107</v>
      </c>
      <c r="G55" s="2">
        <v>45768</v>
      </c>
      <c r="H55" t="str">
        <f>VLOOKUP(A55,user!A:L,12,0)</f>
        <v>user2</v>
      </c>
    </row>
    <row r="56" spans="1:8" x14ac:dyDescent="0.2">
      <c r="A56">
        <v>2</v>
      </c>
      <c r="B56">
        <v>12</v>
      </c>
      <c r="C56">
        <v>1</v>
      </c>
      <c r="D56" t="s">
        <v>116</v>
      </c>
      <c r="E56" t="s">
        <v>105</v>
      </c>
      <c r="G56" s="2">
        <v>45768</v>
      </c>
      <c r="H56" t="str">
        <f>VLOOKUP(A56,user!A:L,12,0)</f>
        <v>user2</v>
      </c>
    </row>
    <row r="57" spans="1:8" x14ac:dyDescent="0.2">
      <c r="A57">
        <v>2</v>
      </c>
      <c r="B57">
        <v>34</v>
      </c>
      <c r="C57">
        <v>1</v>
      </c>
      <c r="D57" t="s">
        <v>117</v>
      </c>
      <c r="E57" t="s">
        <v>108</v>
      </c>
      <c r="G57" s="2">
        <v>45768</v>
      </c>
      <c r="H57" t="str">
        <f>VLOOKUP(A57,user!A:L,12,0)</f>
        <v>user2</v>
      </c>
    </row>
    <row r="58" spans="1:8" x14ac:dyDescent="0.2">
      <c r="A58">
        <v>2</v>
      </c>
      <c r="B58">
        <v>3</v>
      </c>
      <c r="C58">
        <v>1</v>
      </c>
      <c r="D58" t="s">
        <v>114</v>
      </c>
      <c r="E58" t="s">
        <v>104</v>
      </c>
      <c r="G58" s="2">
        <v>45769</v>
      </c>
      <c r="H58" t="str">
        <f>VLOOKUP(A58,user!A:L,12,0)</f>
        <v>user2</v>
      </c>
    </row>
    <row r="59" spans="1:8" x14ac:dyDescent="0.2">
      <c r="A59">
        <v>2</v>
      </c>
      <c r="B59">
        <v>11</v>
      </c>
      <c r="C59">
        <v>1</v>
      </c>
      <c r="D59" t="s">
        <v>114</v>
      </c>
      <c r="E59" t="s">
        <v>106</v>
      </c>
      <c r="G59" s="2">
        <v>45769</v>
      </c>
      <c r="H59" t="str">
        <f>VLOOKUP(A59,user!A:L,12,0)</f>
        <v>user2</v>
      </c>
    </row>
    <row r="60" spans="1:8" x14ac:dyDescent="0.2">
      <c r="A60">
        <v>2</v>
      </c>
      <c r="B60">
        <v>27</v>
      </c>
      <c r="C60">
        <v>1</v>
      </c>
      <c r="D60" t="s">
        <v>115</v>
      </c>
      <c r="E60" t="s">
        <v>107</v>
      </c>
      <c r="G60" s="2">
        <v>45769</v>
      </c>
      <c r="H60" t="str">
        <f>VLOOKUP(A60,user!A:L,12,0)</f>
        <v>user2</v>
      </c>
    </row>
    <row r="61" spans="1:8" x14ac:dyDescent="0.2">
      <c r="A61">
        <v>2</v>
      </c>
      <c r="B61">
        <v>12</v>
      </c>
      <c r="C61">
        <v>1</v>
      </c>
      <c r="D61" t="s">
        <v>115</v>
      </c>
      <c r="E61" t="s">
        <v>105</v>
      </c>
      <c r="G61" s="2">
        <v>45769</v>
      </c>
      <c r="H61" t="str">
        <f>VLOOKUP(A61,user!A:L,12,0)</f>
        <v>user2</v>
      </c>
    </row>
    <row r="62" spans="1:8" x14ac:dyDescent="0.2">
      <c r="A62">
        <v>2</v>
      </c>
      <c r="B62">
        <v>19</v>
      </c>
      <c r="C62">
        <v>1</v>
      </c>
      <c r="D62" t="s">
        <v>116</v>
      </c>
      <c r="E62" t="s">
        <v>107</v>
      </c>
      <c r="G62" s="2">
        <v>45769</v>
      </c>
      <c r="H62" t="str">
        <f>VLOOKUP(A62,user!A:L,12,0)</f>
        <v>user2</v>
      </c>
    </row>
    <row r="63" spans="1:8" x14ac:dyDescent="0.2">
      <c r="A63">
        <v>2</v>
      </c>
      <c r="B63">
        <v>13</v>
      </c>
      <c r="C63">
        <v>1</v>
      </c>
      <c r="D63" t="s">
        <v>116</v>
      </c>
      <c r="E63" t="s">
        <v>105</v>
      </c>
      <c r="G63" s="2">
        <v>45769</v>
      </c>
      <c r="H63" t="str">
        <f>VLOOKUP(A63,user!A:L,12,0)</f>
        <v>user2</v>
      </c>
    </row>
    <row r="64" spans="1:8" x14ac:dyDescent="0.2">
      <c r="A64">
        <v>2</v>
      </c>
      <c r="B64">
        <v>35</v>
      </c>
      <c r="C64">
        <v>1</v>
      </c>
      <c r="D64" t="s">
        <v>117</v>
      </c>
      <c r="E64" t="s">
        <v>108</v>
      </c>
      <c r="G64" s="2">
        <v>45769</v>
      </c>
      <c r="H64" t="str">
        <f>VLOOKUP(A64,user!A:L,12,0)</f>
        <v>user2</v>
      </c>
    </row>
    <row r="65" spans="1:8" x14ac:dyDescent="0.2">
      <c r="A65">
        <v>2</v>
      </c>
      <c r="B65">
        <v>4</v>
      </c>
      <c r="C65">
        <v>1</v>
      </c>
      <c r="D65" t="s">
        <v>114</v>
      </c>
      <c r="E65" t="s">
        <v>104</v>
      </c>
      <c r="G65" s="2">
        <v>45770</v>
      </c>
      <c r="H65" t="str">
        <f>VLOOKUP(A65,user!A:L,12,0)</f>
        <v>user2</v>
      </c>
    </row>
    <row r="66" spans="1:8" x14ac:dyDescent="0.2">
      <c r="A66">
        <v>2</v>
      </c>
      <c r="B66">
        <v>12</v>
      </c>
      <c r="C66">
        <v>1</v>
      </c>
      <c r="D66" t="s">
        <v>114</v>
      </c>
      <c r="E66" t="s">
        <v>106</v>
      </c>
      <c r="G66" s="2">
        <v>45770</v>
      </c>
      <c r="H66" t="str">
        <f>VLOOKUP(A66,user!A:L,12,0)</f>
        <v>user2</v>
      </c>
    </row>
    <row r="67" spans="1:8" x14ac:dyDescent="0.2">
      <c r="A67">
        <v>2</v>
      </c>
      <c r="B67">
        <v>28</v>
      </c>
      <c r="C67">
        <v>1</v>
      </c>
      <c r="D67" t="s">
        <v>115</v>
      </c>
      <c r="E67" t="s">
        <v>107</v>
      </c>
      <c r="G67" s="2">
        <v>45770</v>
      </c>
      <c r="H67" t="str">
        <f>VLOOKUP(A67,user!A:L,12,0)</f>
        <v>user2</v>
      </c>
    </row>
    <row r="68" spans="1:8" x14ac:dyDescent="0.2">
      <c r="A68">
        <v>2</v>
      </c>
      <c r="B68">
        <v>13</v>
      </c>
      <c r="C68">
        <v>1</v>
      </c>
      <c r="D68" t="s">
        <v>115</v>
      </c>
      <c r="E68" t="s">
        <v>105</v>
      </c>
      <c r="G68" s="2">
        <v>45770</v>
      </c>
      <c r="H68" t="str">
        <f>VLOOKUP(A68,user!A:L,12,0)</f>
        <v>user2</v>
      </c>
    </row>
    <row r="69" spans="1:8" x14ac:dyDescent="0.2">
      <c r="A69">
        <v>2</v>
      </c>
      <c r="B69">
        <v>20</v>
      </c>
      <c r="C69">
        <v>1</v>
      </c>
      <c r="D69" t="s">
        <v>116</v>
      </c>
      <c r="E69" t="s">
        <v>107</v>
      </c>
      <c r="G69" s="2">
        <v>45770</v>
      </c>
      <c r="H69" t="str">
        <f>VLOOKUP(A69,user!A:L,12,0)</f>
        <v>user2</v>
      </c>
    </row>
    <row r="70" spans="1:8" x14ac:dyDescent="0.2">
      <c r="A70">
        <v>2</v>
      </c>
      <c r="B70">
        <v>14</v>
      </c>
      <c r="C70">
        <v>1</v>
      </c>
      <c r="D70" t="s">
        <v>116</v>
      </c>
      <c r="E70" t="s">
        <v>105</v>
      </c>
      <c r="G70" s="2">
        <v>45770</v>
      </c>
      <c r="H70" t="str">
        <f>VLOOKUP(A70,user!A:L,12,0)</f>
        <v>user2</v>
      </c>
    </row>
    <row r="71" spans="1:8" x14ac:dyDescent="0.2">
      <c r="A71">
        <v>2</v>
      </c>
      <c r="B71">
        <v>36</v>
      </c>
      <c r="C71">
        <v>1</v>
      </c>
      <c r="D71" t="s">
        <v>117</v>
      </c>
      <c r="E71" t="s">
        <v>108</v>
      </c>
      <c r="G71" s="2">
        <v>45770</v>
      </c>
      <c r="H71" t="str">
        <f>VLOOKUP(A71,user!A:L,12,0)</f>
        <v>user2</v>
      </c>
    </row>
    <row r="72" spans="1:8" x14ac:dyDescent="0.2">
      <c r="A72">
        <v>2</v>
      </c>
      <c r="B72">
        <v>5</v>
      </c>
      <c r="C72">
        <v>1</v>
      </c>
      <c r="D72" t="s">
        <v>114</v>
      </c>
      <c r="E72" t="s">
        <v>104</v>
      </c>
      <c r="G72" s="2">
        <v>45771</v>
      </c>
      <c r="H72" t="str">
        <f>VLOOKUP(A72,user!A:L,12,0)</f>
        <v>user2</v>
      </c>
    </row>
    <row r="73" spans="1:8" x14ac:dyDescent="0.2">
      <c r="A73">
        <v>2</v>
      </c>
      <c r="B73">
        <v>13</v>
      </c>
      <c r="C73">
        <v>1</v>
      </c>
      <c r="D73" t="s">
        <v>114</v>
      </c>
      <c r="E73" t="s">
        <v>106</v>
      </c>
      <c r="G73" s="2">
        <v>45771</v>
      </c>
      <c r="H73" t="str">
        <f>VLOOKUP(A73,user!A:L,12,0)</f>
        <v>user2</v>
      </c>
    </row>
    <row r="74" spans="1:8" x14ac:dyDescent="0.2">
      <c r="A74">
        <v>2</v>
      </c>
      <c r="B74">
        <v>29</v>
      </c>
      <c r="C74">
        <v>1</v>
      </c>
      <c r="D74" t="s">
        <v>115</v>
      </c>
      <c r="E74" t="s">
        <v>107</v>
      </c>
      <c r="G74" s="2">
        <v>45771</v>
      </c>
      <c r="H74" t="str">
        <f>VLOOKUP(A74,user!A:L,12,0)</f>
        <v>user2</v>
      </c>
    </row>
    <row r="75" spans="1:8" x14ac:dyDescent="0.2">
      <c r="A75">
        <v>2</v>
      </c>
      <c r="B75">
        <v>14</v>
      </c>
      <c r="C75">
        <v>1</v>
      </c>
      <c r="D75" t="s">
        <v>115</v>
      </c>
      <c r="E75" t="s">
        <v>105</v>
      </c>
      <c r="G75" s="2">
        <v>45771</v>
      </c>
      <c r="H75" t="str">
        <f>VLOOKUP(A75,user!A:L,12,0)</f>
        <v>user2</v>
      </c>
    </row>
    <row r="76" spans="1:8" x14ac:dyDescent="0.2">
      <c r="A76">
        <v>2</v>
      </c>
      <c r="B76">
        <v>21</v>
      </c>
      <c r="C76">
        <v>1</v>
      </c>
      <c r="D76" t="s">
        <v>116</v>
      </c>
      <c r="E76" t="s">
        <v>107</v>
      </c>
      <c r="G76" s="2">
        <v>45771</v>
      </c>
      <c r="H76" t="str">
        <f>VLOOKUP(A76,user!A:L,12,0)</f>
        <v>user2</v>
      </c>
    </row>
    <row r="77" spans="1:8" x14ac:dyDescent="0.2">
      <c r="A77">
        <v>2</v>
      </c>
      <c r="B77">
        <v>15</v>
      </c>
      <c r="C77">
        <v>1</v>
      </c>
      <c r="D77" t="s">
        <v>116</v>
      </c>
      <c r="E77" t="s">
        <v>105</v>
      </c>
      <c r="G77" s="2">
        <v>45771</v>
      </c>
      <c r="H77" t="str">
        <f>VLOOKUP(A77,user!A:L,12,0)</f>
        <v>user2</v>
      </c>
    </row>
    <row r="78" spans="1:8" x14ac:dyDescent="0.2">
      <c r="A78">
        <v>2</v>
      </c>
      <c r="B78">
        <v>37</v>
      </c>
      <c r="C78">
        <v>1</v>
      </c>
      <c r="D78" t="s">
        <v>117</v>
      </c>
      <c r="E78" t="s">
        <v>108</v>
      </c>
      <c r="G78" s="2">
        <v>45771</v>
      </c>
      <c r="H78" t="str">
        <f>VLOOKUP(A78,user!A:L,12,0)</f>
        <v>user2</v>
      </c>
    </row>
    <row r="79" spans="1:8" x14ac:dyDescent="0.2">
      <c r="A79">
        <v>2</v>
      </c>
      <c r="B79">
        <v>6</v>
      </c>
      <c r="C79">
        <v>1</v>
      </c>
      <c r="D79" t="s">
        <v>114</v>
      </c>
      <c r="E79" t="s">
        <v>104</v>
      </c>
      <c r="G79" s="2">
        <v>45772</v>
      </c>
      <c r="H79" t="str">
        <f>VLOOKUP(A79,user!A:L,12,0)</f>
        <v>user2</v>
      </c>
    </row>
    <row r="80" spans="1:8" x14ac:dyDescent="0.2">
      <c r="A80">
        <v>2</v>
      </c>
      <c r="B80">
        <v>14</v>
      </c>
      <c r="C80">
        <v>1</v>
      </c>
      <c r="D80" t="s">
        <v>114</v>
      </c>
      <c r="E80" t="s">
        <v>106</v>
      </c>
      <c r="G80" s="2">
        <v>45772</v>
      </c>
      <c r="H80" t="str">
        <f>VLOOKUP(A80,user!A:L,12,0)</f>
        <v>user2</v>
      </c>
    </row>
    <row r="81" spans="1:8" x14ac:dyDescent="0.2">
      <c r="A81">
        <v>2</v>
      </c>
      <c r="B81">
        <v>30</v>
      </c>
      <c r="C81">
        <v>1</v>
      </c>
      <c r="D81" t="s">
        <v>115</v>
      </c>
      <c r="E81" t="s">
        <v>107</v>
      </c>
      <c r="G81" s="2">
        <v>45772</v>
      </c>
      <c r="H81" t="str">
        <f>VLOOKUP(A81,user!A:L,12,0)</f>
        <v>user2</v>
      </c>
    </row>
    <row r="82" spans="1:8" x14ac:dyDescent="0.2">
      <c r="A82">
        <v>2</v>
      </c>
      <c r="B82">
        <v>15</v>
      </c>
      <c r="C82">
        <v>1</v>
      </c>
      <c r="D82" t="s">
        <v>115</v>
      </c>
      <c r="E82" t="s">
        <v>105</v>
      </c>
      <c r="G82" s="2">
        <v>45772</v>
      </c>
      <c r="H82" t="str">
        <f>VLOOKUP(A82,user!A:L,12,0)</f>
        <v>user2</v>
      </c>
    </row>
    <row r="83" spans="1:8" x14ac:dyDescent="0.2">
      <c r="A83">
        <v>2</v>
      </c>
      <c r="B83">
        <v>22</v>
      </c>
      <c r="C83">
        <v>1</v>
      </c>
      <c r="D83" t="s">
        <v>116</v>
      </c>
      <c r="E83" t="s">
        <v>107</v>
      </c>
      <c r="G83" s="2">
        <v>45772</v>
      </c>
      <c r="H83" t="str">
        <f>VLOOKUP(A83,user!A:L,12,0)</f>
        <v>user2</v>
      </c>
    </row>
    <row r="84" spans="1:8" x14ac:dyDescent="0.2">
      <c r="A84">
        <v>2</v>
      </c>
      <c r="B84">
        <v>16</v>
      </c>
      <c r="C84">
        <v>1</v>
      </c>
      <c r="D84" t="s">
        <v>116</v>
      </c>
      <c r="E84" t="s">
        <v>105</v>
      </c>
      <c r="G84" s="2">
        <v>45772</v>
      </c>
      <c r="H84" t="str">
        <f>VLOOKUP(A84,user!A:L,12,0)</f>
        <v>user2</v>
      </c>
    </row>
    <row r="85" spans="1:8" x14ac:dyDescent="0.2">
      <c r="A85">
        <v>2</v>
      </c>
      <c r="B85">
        <v>38</v>
      </c>
      <c r="C85">
        <v>1</v>
      </c>
      <c r="D85" t="s">
        <v>117</v>
      </c>
      <c r="E85" t="s">
        <v>108</v>
      </c>
      <c r="G85" s="2">
        <v>45772</v>
      </c>
      <c r="H85" t="str">
        <f>VLOOKUP(A85,user!A:L,12,0)</f>
        <v>user2</v>
      </c>
    </row>
    <row r="86" spans="1:8" x14ac:dyDescent="0.2">
      <c r="A86">
        <v>2</v>
      </c>
      <c r="B86">
        <v>7</v>
      </c>
      <c r="C86">
        <v>1</v>
      </c>
      <c r="D86" t="s">
        <v>114</v>
      </c>
      <c r="E86" t="s">
        <v>104</v>
      </c>
      <c r="G86" s="2">
        <v>45773</v>
      </c>
      <c r="H86" t="str">
        <f>VLOOKUP(A86,user!A:L,12,0)</f>
        <v>user2</v>
      </c>
    </row>
    <row r="87" spans="1:8" x14ac:dyDescent="0.2">
      <c r="A87">
        <v>2</v>
      </c>
      <c r="B87">
        <v>15</v>
      </c>
      <c r="C87">
        <v>1</v>
      </c>
      <c r="D87" t="s">
        <v>114</v>
      </c>
      <c r="E87" t="s">
        <v>106</v>
      </c>
      <c r="G87" s="2">
        <v>45773</v>
      </c>
      <c r="H87" t="str">
        <f>VLOOKUP(A87,user!A:L,12,0)</f>
        <v>user2</v>
      </c>
    </row>
    <row r="88" spans="1:8" x14ac:dyDescent="0.2">
      <c r="A88">
        <v>2</v>
      </c>
      <c r="B88">
        <v>31</v>
      </c>
      <c r="C88">
        <v>1</v>
      </c>
      <c r="D88" t="s">
        <v>115</v>
      </c>
      <c r="E88" t="s">
        <v>107</v>
      </c>
      <c r="G88" s="2">
        <v>45773</v>
      </c>
      <c r="H88" t="str">
        <f>VLOOKUP(A88,user!A:L,12,0)</f>
        <v>user2</v>
      </c>
    </row>
    <row r="89" spans="1:8" x14ac:dyDescent="0.2">
      <c r="A89">
        <v>2</v>
      </c>
      <c r="B89">
        <v>16</v>
      </c>
      <c r="C89">
        <v>1</v>
      </c>
      <c r="D89" t="s">
        <v>115</v>
      </c>
      <c r="E89" t="s">
        <v>105</v>
      </c>
      <c r="G89" s="2">
        <v>45773</v>
      </c>
      <c r="H89" t="str">
        <f>VLOOKUP(A89,user!A:L,12,0)</f>
        <v>user2</v>
      </c>
    </row>
    <row r="90" spans="1:8" x14ac:dyDescent="0.2">
      <c r="A90">
        <v>2</v>
      </c>
      <c r="B90">
        <v>23</v>
      </c>
      <c r="C90">
        <v>1</v>
      </c>
      <c r="D90" t="s">
        <v>116</v>
      </c>
      <c r="E90" t="s">
        <v>107</v>
      </c>
      <c r="G90" s="2">
        <v>45773</v>
      </c>
      <c r="H90" t="str">
        <f>VLOOKUP(A90,user!A:L,12,0)</f>
        <v>user2</v>
      </c>
    </row>
    <row r="91" spans="1:8" x14ac:dyDescent="0.2">
      <c r="A91">
        <v>2</v>
      </c>
      <c r="B91">
        <v>9</v>
      </c>
      <c r="C91">
        <v>1</v>
      </c>
      <c r="D91" t="s">
        <v>116</v>
      </c>
      <c r="E91" t="s">
        <v>105</v>
      </c>
      <c r="G91" s="2">
        <v>45773</v>
      </c>
      <c r="H91" t="str">
        <f>VLOOKUP(A91,user!A:L,12,0)</f>
        <v>user2</v>
      </c>
    </row>
    <row r="92" spans="1:8" x14ac:dyDescent="0.2">
      <c r="A92">
        <v>2</v>
      </c>
      <c r="B92">
        <v>32</v>
      </c>
      <c r="C92">
        <v>1</v>
      </c>
      <c r="D92" t="s">
        <v>117</v>
      </c>
      <c r="E92" t="s">
        <v>108</v>
      </c>
      <c r="G92" s="2">
        <v>45773</v>
      </c>
      <c r="H92" t="str">
        <f>VLOOKUP(A92,user!A:L,12,0)</f>
        <v>user2</v>
      </c>
    </row>
    <row r="93" spans="1:8" x14ac:dyDescent="0.2">
      <c r="A93">
        <v>2</v>
      </c>
      <c r="B93">
        <v>8</v>
      </c>
      <c r="C93">
        <v>1</v>
      </c>
      <c r="D93" t="s">
        <v>114</v>
      </c>
      <c r="E93" t="s">
        <v>104</v>
      </c>
      <c r="G93" s="2">
        <v>45774</v>
      </c>
      <c r="H93" t="str">
        <f>VLOOKUP(A93,user!A:L,12,0)</f>
        <v>user2</v>
      </c>
    </row>
    <row r="94" spans="1:8" x14ac:dyDescent="0.2">
      <c r="A94">
        <v>2</v>
      </c>
      <c r="B94">
        <v>16</v>
      </c>
      <c r="C94">
        <v>1</v>
      </c>
      <c r="D94" t="s">
        <v>114</v>
      </c>
      <c r="E94" t="s">
        <v>106</v>
      </c>
      <c r="G94" s="2">
        <v>45774</v>
      </c>
      <c r="H94" t="str">
        <f>VLOOKUP(A94,user!A:L,12,0)</f>
        <v>user2</v>
      </c>
    </row>
    <row r="95" spans="1:8" x14ac:dyDescent="0.2">
      <c r="A95">
        <v>2</v>
      </c>
      <c r="B95">
        <v>32</v>
      </c>
      <c r="C95">
        <v>1</v>
      </c>
      <c r="D95" t="s">
        <v>115</v>
      </c>
      <c r="E95" t="s">
        <v>107</v>
      </c>
      <c r="G95" s="2">
        <v>45774</v>
      </c>
      <c r="H95" t="str">
        <f>VLOOKUP(A95,user!A:L,12,0)</f>
        <v>user2</v>
      </c>
    </row>
    <row r="96" spans="1:8" x14ac:dyDescent="0.2">
      <c r="A96">
        <v>2</v>
      </c>
      <c r="B96">
        <v>9</v>
      </c>
      <c r="C96">
        <v>1</v>
      </c>
      <c r="D96" t="s">
        <v>115</v>
      </c>
      <c r="E96" t="s">
        <v>105</v>
      </c>
      <c r="G96" s="2">
        <v>45774</v>
      </c>
      <c r="H96" t="str">
        <f>VLOOKUP(A96,user!A:L,12,0)</f>
        <v>user2</v>
      </c>
    </row>
    <row r="97" spans="1:8" x14ac:dyDescent="0.2">
      <c r="A97">
        <v>2</v>
      </c>
      <c r="B97">
        <v>24</v>
      </c>
      <c r="C97">
        <v>1</v>
      </c>
      <c r="D97" t="s">
        <v>116</v>
      </c>
      <c r="E97" t="s">
        <v>107</v>
      </c>
      <c r="G97" s="2">
        <v>45774</v>
      </c>
      <c r="H97" t="str">
        <f>VLOOKUP(A97,user!A:L,12,0)</f>
        <v>user2</v>
      </c>
    </row>
    <row r="98" spans="1:8" x14ac:dyDescent="0.2">
      <c r="A98">
        <v>2</v>
      </c>
      <c r="B98">
        <v>10</v>
      </c>
      <c r="C98">
        <v>1</v>
      </c>
      <c r="D98" t="s">
        <v>116</v>
      </c>
      <c r="E98" t="s">
        <v>105</v>
      </c>
      <c r="G98" s="2">
        <v>45774</v>
      </c>
      <c r="H98" t="str">
        <f>VLOOKUP(A98,user!A:L,12,0)</f>
        <v>user2</v>
      </c>
    </row>
    <row r="99" spans="1:8" x14ac:dyDescent="0.2">
      <c r="A99">
        <v>2</v>
      </c>
      <c r="B99">
        <v>33</v>
      </c>
      <c r="C99">
        <v>1</v>
      </c>
      <c r="D99" t="s">
        <v>117</v>
      </c>
      <c r="E99" t="s">
        <v>108</v>
      </c>
      <c r="G99" s="2">
        <v>45774</v>
      </c>
      <c r="H99" t="str">
        <f>VLOOKUP(A99,user!A:L,12,0)</f>
        <v>user2</v>
      </c>
    </row>
    <row r="100" spans="1:8" x14ac:dyDescent="0.2">
      <c r="A100">
        <v>3</v>
      </c>
      <c r="B100">
        <v>3</v>
      </c>
      <c r="C100">
        <v>1</v>
      </c>
      <c r="D100" t="s">
        <v>114</v>
      </c>
      <c r="E100" t="s">
        <v>104</v>
      </c>
      <c r="G100" s="2">
        <v>45768</v>
      </c>
      <c r="H100" t="str">
        <f>VLOOKUP(A100,user!A:L,12,0)</f>
        <v>user3</v>
      </c>
    </row>
    <row r="101" spans="1:8" x14ac:dyDescent="0.2">
      <c r="A101">
        <v>3</v>
      </c>
      <c r="B101">
        <v>11</v>
      </c>
      <c r="C101">
        <v>1</v>
      </c>
      <c r="D101" t="s">
        <v>114</v>
      </c>
      <c r="E101" t="s">
        <v>106</v>
      </c>
      <c r="G101" s="2">
        <v>45768</v>
      </c>
      <c r="H101" t="str">
        <f>VLOOKUP(A101,user!A:L,12,0)</f>
        <v>user3</v>
      </c>
    </row>
    <row r="102" spans="1:8" x14ac:dyDescent="0.2">
      <c r="A102">
        <v>3</v>
      </c>
      <c r="B102">
        <v>27</v>
      </c>
      <c r="C102">
        <v>1</v>
      </c>
      <c r="D102" t="s">
        <v>115</v>
      </c>
      <c r="E102" t="s">
        <v>107</v>
      </c>
      <c r="G102" s="2">
        <v>45768</v>
      </c>
      <c r="H102" t="str">
        <f>VLOOKUP(A102,user!A:L,12,0)</f>
        <v>user3</v>
      </c>
    </row>
    <row r="103" spans="1:8" x14ac:dyDescent="0.2">
      <c r="A103">
        <v>3</v>
      </c>
      <c r="B103">
        <v>12</v>
      </c>
      <c r="C103">
        <v>1</v>
      </c>
      <c r="D103" t="s">
        <v>115</v>
      </c>
      <c r="E103" t="s">
        <v>105</v>
      </c>
      <c r="G103" s="2">
        <v>45768</v>
      </c>
      <c r="H103" t="str">
        <f>VLOOKUP(A103,user!A:L,12,0)</f>
        <v>user3</v>
      </c>
    </row>
    <row r="104" spans="1:8" x14ac:dyDescent="0.2">
      <c r="A104">
        <v>3</v>
      </c>
      <c r="B104">
        <v>19</v>
      </c>
      <c r="C104">
        <v>1</v>
      </c>
      <c r="D104" t="s">
        <v>116</v>
      </c>
      <c r="E104" t="s">
        <v>107</v>
      </c>
      <c r="G104" s="2">
        <v>45768</v>
      </c>
      <c r="H104" t="str">
        <f>VLOOKUP(A104,user!A:L,12,0)</f>
        <v>user3</v>
      </c>
    </row>
    <row r="105" spans="1:8" x14ac:dyDescent="0.2">
      <c r="A105">
        <v>3</v>
      </c>
      <c r="B105">
        <v>13</v>
      </c>
      <c r="C105">
        <v>1</v>
      </c>
      <c r="D105" t="s">
        <v>116</v>
      </c>
      <c r="E105" t="s">
        <v>105</v>
      </c>
      <c r="G105" s="2">
        <v>45768</v>
      </c>
      <c r="H105" t="str">
        <f>VLOOKUP(A105,user!A:L,12,0)</f>
        <v>user3</v>
      </c>
    </row>
    <row r="106" spans="1:8" x14ac:dyDescent="0.2">
      <c r="A106">
        <v>3</v>
      </c>
      <c r="B106">
        <v>35</v>
      </c>
      <c r="C106">
        <v>1</v>
      </c>
      <c r="D106" t="s">
        <v>117</v>
      </c>
      <c r="E106" t="s">
        <v>108</v>
      </c>
      <c r="G106" s="2">
        <v>45768</v>
      </c>
      <c r="H106" t="str">
        <f>VLOOKUP(A106,user!A:L,12,0)</f>
        <v>user3</v>
      </c>
    </row>
    <row r="107" spans="1:8" x14ac:dyDescent="0.2">
      <c r="A107">
        <v>3</v>
      </c>
      <c r="B107">
        <v>4</v>
      </c>
      <c r="C107">
        <v>1</v>
      </c>
      <c r="D107" t="s">
        <v>114</v>
      </c>
      <c r="E107" t="s">
        <v>104</v>
      </c>
      <c r="G107" s="2">
        <v>45769</v>
      </c>
      <c r="H107" t="str">
        <f>VLOOKUP(A107,user!A:L,12,0)</f>
        <v>user3</v>
      </c>
    </row>
    <row r="108" spans="1:8" x14ac:dyDescent="0.2">
      <c r="A108">
        <v>3</v>
      </c>
      <c r="B108">
        <v>12</v>
      </c>
      <c r="C108">
        <v>1</v>
      </c>
      <c r="D108" t="s">
        <v>114</v>
      </c>
      <c r="E108" t="s">
        <v>106</v>
      </c>
      <c r="G108" s="2">
        <v>45769</v>
      </c>
      <c r="H108" t="str">
        <f>VLOOKUP(A108,user!A:L,12,0)</f>
        <v>user3</v>
      </c>
    </row>
    <row r="109" spans="1:8" x14ac:dyDescent="0.2">
      <c r="A109">
        <v>3</v>
      </c>
      <c r="B109">
        <v>28</v>
      </c>
      <c r="C109">
        <v>1</v>
      </c>
      <c r="D109" t="s">
        <v>115</v>
      </c>
      <c r="E109" t="s">
        <v>107</v>
      </c>
      <c r="G109" s="2">
        <v>45769</v>
      </c>
      <c r="H109" t="str">
        <f>VLOOKUP(A109,user!A:L,12,0)</f>
        <v>user3</v>
      </c>
    </row>
    <row r="110" spans="1:8" x14ac:dyDescent="0.2">
      <c r="A110">
        <v>3</v>
      </c>
      <c r="B110">
        <v>13</v>
      </c>
      <c r="C110">
        <v>1</v>
      </c>
      <c r="D110" t="s">
        <v>115</v>
      </c>
      <c r="E110" t="s">
        <v>105</v>
      </c>
      <c r="G110" s="2">
        <v>45769</v>
      </c>
      <c r="H110" t="str">
        <f>VLOOKUP(A110,user!A:L,12,0)</f>
        <v>user3</v>
      </c>
    </row>
    <row r="111" spans="1:8" x14ac:dyDescent="0.2">
      <c r="A111">
        <v>3</v>
      </c>
      <c r="B111">
        <v>20</v>
      </c>
      <c r="C111">
        <v>1</v>
      </c>
      <c r="D111" t="s">
        <v>116</v>
      </c>
      <c r="E111" t="s">
        <v>107</v>
      </c>
      <c r="G111" s="2">
        <v>45769</v>
      </c>
      <c r="H111" t="str">
        <f>VLOOKUP(A111,user!A:L,12,0)</f>
        <v>user3</v>
      </c>
    </row>
    <row r="112" spans="1:8" x14ac:dyDescent="0.2">
      <c r="A112">
        <v>3</v>
      </c>
      <c r="B112">
        <v>14</v>
      </c>
      <c r="C112">
        <v>1</v>
      </c>
      <c r="D112" t="s">
        <v>116</v>
      </c>
      <c r="E112" t="s">
        <v>105</v>
      </c>
      <c r="G112" s="2">
        <v>45769</v>
      </c>
      <c r="H112" t="str">
        <f>VLOOKUP(A112,user!A:L,12,0)</f>
        <v>user3</v>
      </c>
    </row>
    <row r="113" spans="1:8" x14ac:dyDescent="0.2">
      <c r="A113">
        <v>3</v>
      </c>
      <c r="B113">
        <v>36</v>
      </c>
      <c r="C113">
        <v>1</v>
      </c>
      <c r="D113" t="s">
        <v>117</v>
      </c>
      <c r="E113" t="s">
        <v>108</v>
      </c>
      <c r="G113" s="2">
        <v>45769</v>
      </c>
      <c r="H113" t="str">
        <f>VLOOKUP(A113,user!A:L,12,0)</f>
        <v>user3</v>
      </c>
    </row>
    <row r="114" spans="1:8" x14ac:dyDescent="0.2">
      <c r="A114">
        <v>3</v>
      </c>
      <c r="B114">
        <v>5</v>
      </c>
      <c r="C114">
        <v>1</v>
      </c>
      <c r="D114" t="s">
        <v>114</v>
      </c>
      <c r="E114" t="s">
        <v>104</v>
      </c>
      <c r="G114" s="2">
        <v>45770</v>
      </c>
      <c r="H114" t="str">
        <f>VLOOKUP(A114,user!A:L,12,0)</f>
        <v>user3</v>
      </c>
    </row>
    <row r="115" spans="1:8" x14ac:dyDescent="0.2">
      <c r="A115">
        <v>3</v>
      </c>
      <c r="B115">
        <v>13</v>
      </c>
      <c r="C115">
        <v>1</v>
      </c>
      <c r="D115" t="s">
        <v>114</v>
      </c>
      <c r="E115" t="s">
        <v>106</v>
      </c>
      <c r="G115" s="2">
        <v>45770</v>
      </c>
      <c r="H115" t="str">
        <f>VLOOKUP(A115,user!A:L,12,0)</f>
        <v>user3</v>
      </c>
    </row>
    <row r="116" spans="1:8" x14ac:dyDescent="0.2">
      <c r="A116">
        <v>3</v>
      </c>
      <c r="B116">
        <v>29</v>
      </c>
      <c r="C116">
        <v>1</v>
      </c>
      <c r="D116" t="s">
        <v>115</v>
      </c>
      <c r="E116" t="s">
        <v>107</v>
      </c>
      <c r="G116" s="2">
        <v>45770</v>
      </c>
      <c r="H116" t="str">
        <f>VLOOKUP(A116,user!A:L,12,0)</f>
        <v>user3</v>
      </c>
    </row>
    <row r="117" spans="1:8" x14ac:dyDescent="0.2">
      <c r="A117">
        <v>3</v>
      </c>
      <c r="B117">
        <v>14</v>
      </c>
      <c r="C117">
        <v>1</v>
      </c>
      <c r="D117" t="s">
        <v>115</v>
      </c>
      <c r="E117" t="s">
        <v>105</v>
      </c>
      <c r="G117" s="2">
        <v>45770</v>
      </c>
      <c r="H117" t="str">
        <f>VLOOKUP(A117,user!A:L,12,0)</f>
        <v>user3</v>
      </c>
    </row>
    <row r="118" spans="1:8" x14ac:dyDescent="0.2">
      <c r="A118">
        <v>3</v>
      </c>
      <c r="B118">
        <v>21</v>
      </c>
      <c r="C118">
        <v>1</v>
      </c>
      <c r="D118" t="s">
        <v>116</v>
      </c>
      <c r="E118" t="s">
        <v>107</v>
      </c>
      <c r="G118" s="2">
        <v>45770</v>
      </c>
      <c r="H118" t="str">
        <f>VLOOKUP(A118,user!A:L,12,0)</f>
        <v>user3</v>
      </c>
    </row>
    <row r="119" spans="1:8" x14ac:dyDescent="0.2">
      <c r="A119">
        <v>3</v>
      </c>
      <c r="B119">
        <v>15</v>
      </c>
      <c r="C119">
        <v>1</v>
      </c>
      <c r="D119" t="s">
        <v>116</v>
      </c>
      <c r="E119" t="s">
        <v>105</v>
      </c>
      <c r="G119" s="2">
        <v>45770</v>
      </c>
      <c r="H119" t="str">
        <f>VLOOKUP(A119,user!A:L,12,0)</f>
        <v>user3</v>
      </c>
    </row>
    <row r="120" spans="1:8" x14ac:dyDescent="0.2">
      <c r="A120">
        <v>3</v>
      </c>
      <c r="B120">
        <v>37</v>
      </c>
      <c r="C120">
        <v>1</v>
      </c>
      <c r="D120" t="s">
        <v>117</v>
      </c>
      <c r="E120" t="s">
        <v>108</v>
      </c>
      <c r="G120" s="2">
        <v>45770</v>
      </c>
      <c r="H120" t="str">
        <f>VLOOKUP(A120,user!A:L,12,0)</f>
        <v>user3</v>
      </c>
    </row>
    <row r="121" spans="1:8" x14ac:dyDescent="0.2">
      <c r="A121">
        <v>3</v>
      </c>
      <c r="B121">
        <v>6</v>
      </c>
      <c r="C121">
        <v>1</v>
      </c>
      <c r="D121" t="s">
        <v>114</v>
      </c>
      <c r="E121" t="s">
        <v>104</v>
      </c>
      <c r="G121" s="2">
        <v>45771</v>
      </c>
      <c r="H121" t="str">
        <f>VLOOKUP(A121,user!A:L,12,0)</f>
        <v>user3</v>
      </c>
    </row>
    <row r="122" spans="1:8" x14ac:dyDescent="0.2">
      <c r="A122">
        <v>3</v>
      </c>
      <c r="B122">
        <v>14</v>
      </c>
      <c r="C122">
        <v>1</v>
      </c>
      <c r="D122" t="s">
        <v>114</v>
      </c>
      <c r="E122" t="s">
        <v>106</v>
      </c>
      <c r="G122" s="2">
        <v>45771</v>
      </c>
      <c r="H122" t="str">
        <f>VLOOKUP(A122,user!A:L,12,0)</f>
        <v>user3</v>
      </c>
    </row>
    <row r="123" spans="1:8" x14ac:dyDescent="0.2">
      <c r="A123">
        <v>3</v>
      </c>
      <c r="B123">
        <v>30</v>
      </c>
      <c r="C123">
        <v>1</v>
      </c>
      <c r="D123" t="s">
        <v>115</v>
      </c>
      <c r="E123" t="s">
        <v>107</v>
      </c>
      <c r="G123" s="2">
        <v>45771</v>
      </c>
      <c r="H123" t="str">
        <f>VLOOKUP(A123,user!A:L,12,0)</f>
        <v>user3</v>
      </c>
    </row>
    <row r="124" spans="1:8" x14ac:dyDescent="0.2">
      <c r="A124">
        <v>3</v>
      </c>
      <c r="B124">
        <v>15</v>
      </c>
      <c r="C124">
        <v>1</v>
      </c>
      <c r="D124" t="s">
        <v>115</v>
      </c>
      <c r="E124" t="s">
        <v>105</v>
      </c>
      <c r="G124" s="2">
        <v>45771</v>
      </c>
      <c r="H124" t="str">
        <f>VLOOKUP(A124,user!A:L,12,0)</f>
        <v>user3</v>
      </c>
    </row>
    <row r="125" spans="1:8" x14ac:dyDescent="0.2">
      <c r="A125">
        <v>3</v>
      </c>
      <c r="B125">
        <v>22</v>
      </c>
      <c r="C125">
        <v>1</v>
      </c>
      <c r="D125" t="s">
        <v>116</v>
      </c>
      <c r="E125" t="s">
        <v>107</v>
      </c>
      <c r="G125" s="2">
        <v>45771</v>
      </c>
      <c r="H125" t="str">
        <f>VLOOKUP(A125,user!A:L,12,0)</f>
        <v>user3</v>
      </c>
    </row>
    <row r="126" spans="1:8" x14ac:dyDescent="0.2">
      <c r="A126">
        <v>3</v>
      </c>
      <c r="B126">
        <v>16</v>
      </c>
      <c r="C126">
        <v>1</v>
      </c>
      <c r="D126" t="s">
        <v>116</v>
      </c>
      <c r="E126" t="s">
        <v>105</v>
      </c>
      <c r="G126" s="2">
        <v>45771</v>
      </c>
      <c r="H126" t="str">
        <f>VLOOKUP(A126,user!A:L,12,0)</f>
        <v>user3</v>
      </c>
    </row>
    <row r="127" spans="1:8" x14ac:dyDescent="0.2">
      <c r="A127">
        <v>3</v>
      </c>
      <c r="B127">
        <v>38</v>
      </c>
      <c r="C127">
        <v>1</v>
      </c>
      <c r="D127" t="s">
        <v>117</v>
      </c>
      <c r="E127" t="s">
        <v>108</v>
      </c>
      <c r="G127" s="2">
        <v>45771</v>
      </c>
      <c r="H127" t="str">
        <f>VLOOKUP(A127,user!A:L,12,0)</f>
        <v>user3</v>
      </c>
    </row>
    <row r="128" spans="1:8" x14ac:dyDescent="0.2">
      <c r="A128">
        <v>3</v>
      </c>
      <c r="B128">
        <v>7</v>
      </c>
      <c r="C128">
        <v>1</v>
      </c>
      <c r="D128" t="s">
        <v>114</v>
      </c>
      <c r="E128" t="s">
        <v>104</v>
      </c>
      <c r="G128" s="2">
        <v>45772</v>
      </c>
      <c r="H128" t="str">
        <f>VLOOKUP(A128,user!A:L,12,0)</f>
        <v>user3</v>
      </c>
    </row>
    <row r="129" spans="1:8" x14ac:dyDescent="0.2">
      <c r="A129">
        <v>3</v>
      </c>
      <c r="B129">
        <v>15</v>
      </c>
      <c r="C129">
        <v>1</v>
      </c>
      <c r="D129" t="s">
        <v>114</v>
      </c>
      <c r="E129" t="s">
        <v>106</v>
      </c>
      <c r="G129" s="2">
        <v>45772</v>
      </c>
      <c r="H129" t="str">
        <f>VLOOKUP(A129,user!A:L,12,0)</f>
        <v>user3</v>
      </c>
    </row>
    <row r="130" spans="1:8" x14ac:dyDescent="0.2">
      <c r="A130">
        <v>3</v>
      </c>
      <c r="B130">
        <v>31</v>
      </c>
      <c r="C130">
        <v>1</v>
      </c>
      <c r="D130" t="s">
        <v>115</v>
      </c>
      <c r="E130" t="s">
        <v>107</v>
      </c>
      <c r="G130" s="2">
        <v>45772</v>
      </c>
      <c r="H130" t="str">
        <f>VLOOKUP(A130,user!A:L,12,0)</f>
        <v>user3</v>
      </c>
    </row>
    <row r="131" spans="1:8" x14ac:dyDescent="0.2">
      <c r="A131">
        <v>3</v>
      </c>
      <c r="B131">
        <v>16</v>
      </c>
      <c r="C131">
        <v>1</v>
      </c>
      <c r="D131" t="s">
        <v>115</v>
      </c>
      <c r="E131" t="s">
        <v>105</v>
      </c>
      <c r="G131" s="2">
        <v>45772</v>
      </c>
      <c r="H131" t="str">
        <f>VLOOKUP(A131,user!A:L,12,0)</f>
        <v>user3</v>
      </c>
    </row>
    <row r="132" spans="1:8" x14ac:dyDescent="0.2">
      <c r="A132">
        <v>3</v>
      </c>
      <c r="B132">
        <v>23</v>
      </c>
      <c r="C132">
        <v>1</v>
      </c>
      <c r="D132" t="s">
        <v>116</v>
      </c>
      <c r="E132" t="s">
        <v>107</v>
      </c>
      <c r="G132" s="2">
        <v>45772</v>
      </c>
      <c r="H132" t="str">
        <f>VLOOKUP(A132,user!A:L,12,0)</f>
        <v>user3</v>
      </c>
    </row>
    <row r="133" spans="1:8" x14ac:dyDescent="0.2">
      <c r="A133">
        <v>3</v>
      </c>
      <c r="B133">
        <v>9</v>
      </c>
      <c r="C133">
        <v>1</v>
      </c>
      <c r="D133" t="s">
        <v>116</v>
      </c>
      <c r="E133" t="s">
        <v>105</v>
      </c>
      <c r="G133" s="2">
        <v>45772</v>
      </c>
      <c r="H133" t="str">
        <f>VLOOKUP(A133,user!A:L,12,0)</f>
        <v>user3</v>
      </c>
    </row>
    <row r="134" spans="1:8" x14ac:dyDescent="0.2">
      <c r="A134">
        <v>3</v>
      </c>
      <c r="B134">
        <v>32</v>
      </c>
      <c r="C134">
        <v>1</v>
      </c>
      <c r="D134" t="s">
        <v>117</v>
      </c>
      <c r="E134" t="s">
        <v>108</v>
      </c>
      <c r="G134" s="2">
        <v>45772</v>
      </c>
      <c r="H134" t="str">
        <f>VLOOKUP(A134,user!A:L,12,0)</f>
        <v>user3</v>
      </c>
    </row>
    <row r="135" spans="1:8" x14ac:dyDescent="0.2">
      <c r="A135">
        <v>3</v>
      </c>
      <c r="B135">
        <v>8</v>
      </c>
      <c r="C135">
        <v>1</v>
      </c>
      <c r="D135" t="s">
        <v>114</v>
      </c>
      <c r="E135" t="s">
        <v>104</v>
      </c>
      <c r="G135" s="2">
        <v>45773</v>
      </c>
      <c r="H135" t="str">
        <f>VLOOKUP(A135,user!A:L,12,0)</f>
        <v>user3</v>
      </c>
    </row>
    <row r="136" spans="1:8" x14ac:dyDescent="0.2">
      <c r="A136">
        <v>3</v>
      </c>
      <c r="B136">
        <v>16</v>
      </c>
      <c r="C136">
        <v>1</v>
      </c>
      <c r="D136" t="s">
        <v>114</v>
      </c>
      <c r="E136" t="s">
        <v>106</v>
      </c>
      <c r="G136" s="2">
        <v>45773</v>
      </c>
      <c r="H136" t="str">
        <f>VLOOKUP(A136,user!A:L,12,0)</f>
        <v>user3</v>
      </c>
    </row>
    <row r="137" spans="1:8" x14ac:dyDescent="0.2">
      <c r="A137">
        <v>3</v>
      </c>
      <c r="B137">
        <v>32</v>
      </c>
      <c r="C137">
        <v>1</v>
      </c>
      <c r="D137" t="s">
        <v>115</v>
      </c>
      <c r="E137" t="s">
        <v>107</v>
      </c>
      <c r="G137" s="2">
        <v>45773</v>
      </c>
      <c r="H137" t="str">
        <f>VLOOKUP(A137,user!A:L,12,0)</f>
        <v>user3</v>
      </c>
    </row>
    <row r="138" spans="1:8" x14ac:dyDescent="0.2">
      <c r="A138">
        <v>3</v>
      </c>
      <c r="B138">
        <v>9</v>
      </c>
      <c r="C138">
        <v>1</v>
      </c>
      <c r="D138" t="s">
        <v>115</v>
      </c>
      <c r="E138" t="s">
        <v>105</v>
      </c>
      <c r="G138" s="2">
        <v>45773</v>
      </c>
      <c r="H138" t="str">
        <f>VLOOKUP(A138,user!A:L,12,0)</f>
        <v>user3</v>
      </c>
    </row>
    <row r="139" spans="1:8" x14ac:dyDescent="0.2">
      <c r="A139">
        <v>3</v>
      </c>
      <c r="B139">
        <v>24</v>
      </c>
      <c r="C139">
        <v>1</v>
      </c>
      <c r="D139" t="s">
        <v>116</v>
      </c>
      <c r="E139" t="s">
        <v>107</v>
      </c>
      <c r="G139" s="2">
        <v>45773</v>
      </c>
      <c r="H139" t="str">
        <f>VLOOKUP(A139,user!A:L,12,0)</f>
        <v>user3</v>
      </c>
    </row>
    <row r="140" spans="1:8" x14ac:dyDescent="0.2">
      <c r="A140">
        <v>3</v>
      </c>
      <c r="B140">
        <v>10</v>
      </c>
      <c r="C140">
        <v>1</v>
      </c>
      <c r="D140" t="s">
        <v>116</v>
      </c>
      <c r="E140" t="s">
        <v>105</v>
      </c>
      <c r="G140" s="2">
        <v>45773</v>
      </c>
      <c r="H140" t="str">
        <f>VLOOKUP(A140,user!A:L,12,0)</f>
        <v>user3</v>
      </c>
    </row>
    <row r="141" spans="1:8" x14ac:dyDescent="0.2">
      <c r="A141">
        <v>3</v>
      </c>
      <c r="B141">
        <v>33</v>
      </c>
      <c r="C141">
        <v>1</v>
      </c>
      <c r="D141" t="s">
        <v>117</v>
      </c>
      <c r="E141" t="s">
        <v>108</v>
      </c>
      <c r="G141" s="2">
        <v>45773</v>
      </c>
      <c r="H141" t="str">
        <f>VLOOKUP(A141,user!A:L,12,0)</f>
        <v>user3</v>
      </c>
    </row>
    <row r="142" spans="1:8" x14ac:dyDescent="0.2">
      <c r="A142">
        <v>3</v>
      </c>
      <c r="B142">
        <v>1</v>
      </c>
      <c r="C142">
        <v>1</v>
      </c>
      <c r="D142" t="s">
        <v>114</v>
      </c>
      <c r="E142" t="s">
        <v>104</v>
      </c>
      <c r="G142" s="2">
        <v>45774</v>
      </c>
      <c r="H142" t="str">
        <f>VLOOKUP(A142,user!A:L,12,0)</f>
        <v>user3</v>
      </c>
    </row>
    <row r="143" spans="1:8" x14ac:dyDescent="0.2">
      <c r="A143">
        <v>3</v>
      </c>
      <c r="B143">
        <v>9</v>
      </c>
      <c r="C143">
        <v>1</v>
      </c>
      <c r="D143" t="s">
        <v>114</v>
      </c>
      <c r="E143" t="s">
        <v>106</v>
      </c>
      <c r="G143" s="2">
        <v>45774</v>
      </c>
      <c r="H143" t="str">
        <f>VLOOKUP(A143,user!A:L,12,0)</f>
        <v>user3</v>
      </c>
    </row>
    <row r="144" spans="1:8" x14ac:dyDescent="0.2">
      <c r="A144">
        <v>3</v>
      </c>
      <c r="B144">
        <v>25</v>
      </c>
      <c r="C144">
        <v>1</v>
      </c>
      <c r="D144" t="s">
        <v>115</v>
      </c>
      <c r="E144" t="s">
        <v>107</v>
      </c>
      <c r="G144" s="2">
        <v>45774</v>
      </c>
      <c r="H144" t="str">
        <f>VLOOKUP(A144,user!A:L,12,0)</f>
        <v>user3</v>
      </c>
    </row>
    <row r="145" spans="1:8" x14ac:dyDescent="0.2">
      <c r="A145">
        <v>3</v>
      </c>
      <c r="B145">
        <v>10</v>
      </c>
      <c r="C145">
        <v>1</v>
      </c>
      <c r="D145" t="s">
        <v>115</v>
      </c>
      <c r="E145" t="s">
        <v>105</v>
      </c>
      <c r="G145" s="2">
        <v>45774</v>
      </c>
      <c r="H145" t="str">
        <f>VLOOKUP(A145,user!A:L,12,0)</f>
        <v>user3</v>
      </c>
    </row>
    <row r="146" spans="1:8" x14ac:dyDescent="0.2">
      <c r="A146">
        <v>3</v>
      </c>
      <c r="B146">
        <v>17</v>
      </c>
      <c r="C146">
        <v>1</v>
      </c>
      <c r="D146" t="s">
        <v>116</v>
      </c>
      <c r="E146" t="s">
        <v>107</v>
      </c>
      <c r="G146" s="2">
        <v>45774</v>
      </c>
      <c r="H146" t="str">
        <f>VLOOKUP(A146,user!A:L,12,0)</f>
        <v>user3</v>
      </c>
    </row>
    <row r="147" spans="1:8" x14ac:dyDescent="0.2">
      <c r="A147">
        <v>3</v>
      </c>
      <c r="B147">
        <v>11</v>
      </c>
      <c r="C147">
        <v>1</v>
      </c>
      <c r="D147" t="s">
        <v>116</v>
      </c>
      <c r="E147" t="s">
        <v>105</v>
      </c>
      <c r="G147" s="2">
        <v>45774</v>
      </c>
      <c r="H147" t="str">
        <f>VLOOKUP(A147,user!A:L,12,0)</f>
        <v>user3</v>
      </c>
    </row>
    <row r="148" spans="1:8" x14ac:dyDescent="0.2">
      <c r="A148">
        <v>3</v>
      </c>
      <c r="B148">
        <v>34</v>
      </c>
      <c r="C148">
        <v>1</v>
      </c>
      <c r="D148" t="s">
        <v>117</v>
      </c>
      <c r="E148" t="s">
        <v>108</v>
      </c>
      <c r="G148" s="2">
        <v>45774</v>
      </c>
      <c r="H148" t="str">
        <f>VLOOKUP(A148,user!A:L,12,0)</f>
        <v>user3</v>
      </c>
    </row>
    <row r="149" spans="1:8" x14ac:dyDescent="0.2">
      <c r="A149">
        <v>4</v>
      </c>
      <c r="B149">
        <v>1</v>
      </c>
      <c r="C149">
        <v>1</v>
      </c>
      <c r="D149" t="s">
        <v>114</v>
      </c>
      <c r="E149" t="s">
        <v>104</v>
      </c>
      <c r="G149" s="2">
        <v>45768</v>
      </c>
      <c r="H149" t="str">
        <f>VLOOKUP(A149,user!A:L,12,0)</f>
        <v>user4</v>
      </c>
    </row>
    <row r="150" spans="1:8" x14ac:dyDescent="0.2">
      <c r="A150">
        <v>4</v>
      </c>
      <c r="B150">
        <v>9</v>
      </c>
      <c r="C150">
        <v>1</v>
      </c>
      <c r="D150" t="s">
        <v>114</v>
      </c>
      <c r="E150" t="s">
        <v>106</v>
      </c>
      <c r="G150" s="2">
        <v>45768</v>
      </c>
      <c r="H150" t="str">
        <f>VLOOKUP(A150,user!A:L,12,0)</f>
        <v>user4</v>
      </c>
    </row>
    <row r="151" spans="1:8" x14ac:dyDescent="0.2">
      <c r="A151">
        <v>4</v>
      </c>
      <c r="B151">
        <v>25</v>
      </c>
      <c r="C151">
        <v>1</v>
      </c>
      <c r="D151" t="s">
        <v>115</v>
      </c>
      <c r="E151" t="s">
        <v>107</v>
      </c>
      <c r="G151" s="2">
        <v>45768</v>
      </c>
      <c r="H151" t="str">
        <f>VLOOKUP(A151,user!A:L,12,0)</f>
        <v>user4</v>
      </c>
    </row>
    <row r="152" spans="1:8" x14ac:dyDescent="0.2">
      <c r="A152">
        <v>4</v>
      </c>
      <c r="B152">
        <v>10</v>
      </c>
      <c r="C152">
        <v>1</v>
      </c>
      <c r="D152" t="s">
        <v>115</v>
      </c>
      <c r="E152" t="s">
        <v>105</v>
      </c>
      <c r="G152" s="2">
        <v>45768</v>
      </c>
      <c r="H152" t="str">
        <f>VLOOKUP(A152,user!A:L,12,0)</f>
        <v>user4</v>
      </c>
    </row>
    <row r="153" spans="1:8" x14ac:dyDescent="0.2">
      <c r="A153">
        <v>4</v>
      </c>
      <c r="B153">
        <v>17</v>
      </c>
      <c r="C153">
        <v>1</v>
      </c>
      <c r="D153" t="s">
        <v>116</v>
      </c>
      <c r="E153" t="s">
        <v>107</v>
      </c>
      <c r="G153" s="2">
        <v>45768</v>
      </c>
      <c r="H153" t="str">
        <f>VLOOKUP(A153,user!A:L,12,0)</f>
        <v>user4</v>
      </c>
    </row>
    <row r="154" spans="1:8" x14ac:dyDescent="0.2">
      <c r="A154">
        <v>4</v>
      </c>
      <c r="B154">
        <v>11</v>
      </c>
      <c r="C154">
        <v>1</v>
      </c>
      <c r="D154" t="s">
        <v>116</v>
      </c>
      <c r="E154" t="s">
        <v>105</v>
      </c>
      <c r="G154" s="2">
        <v>45768</v>
      </c>
      <c r="H154" t="str">
        <f>VLOOKUP(A154,user!A:L,12,0)</f>
        <v>user4</v>
      </c>
    </row>
    <row r="155" spans="1:8" x14ac:dyDescent="0.2">
      <c r="A155">
        <v>4</v>
      </c>
      <c r="B155">
        <v>33</v>
      </c>
      <c r="C155">
        <v>1</v>
      </c>
      <c r="D155" t="s">
        <v>117</v>
      </c>
      <c r="E155" t="s">
        <v>108</v>
      </c>
      <c r="G155" s="2">
        <v>45768</v>
      </c>
      <c r="H155" t="str">
        <f>VLOOKUP(A155,user!A:L,12,0)</f>
        <v>user4</v>
      </c>
    </row>
    <row r="156" spans="1:8" x14ac:dyDescent="0.2">
      <c r="A156">
        <v>4</v>
      </c>
      <c r="B156">
        <v>2</v>
      </c>
      <c r="C156">
        <v>1</v>
      </c>
      <c r="D156" t="s">
        <v>114</v>
      </c>
      <c r="E156" t="s">
        <v>104</v>
      </c>
      <c r="G156" s="2">
        <v>45769</v>
      </c>
      <c r="H156" t="str">
        <f>VLOOKUP(A156,user!A:L,12,0)</f>
        <v>user4</v>
      </c>
    </row>
    <row r="157" spans="1:8" x14ac:dyDescent="0.2">
      <c r="A157">
        <v>4</v>
      </c>
      <c r="B157">
        <v>10</v>
      </c>
      <c r="C157">
        <v>1</v>
      </c>
      <c r="D157" t="s">
        <v>114</v>
      </c>
      <c r="E157" t="s">
        <v>106</v>
      </c>
      <c r="G157" s="2">
        <v>45769</v>
      </c>
      <c r="H157" t="str">
        <f>VLOOKUP(A157,user!A:L,12,0)</f>
        <v>user4</v>
      </c>
    </row>
    <row r="158" spans="1:8" x14ac:dyDescent="0.2">
      <c r="A158">
        <v>4</v>
      </c>
      <c r="B158">
        <v>26</v>
      </c>
      <c r="C158">
        <v>1</v>
      </c>
      <c r="D158" t="s">
        <v>115</v>
      </c>
      <c r="E158" t="s">
        <v>107</v>
      </c>
      <c r="G158" s="2">
        <v>45769</v>
      </c>
      <c r="H158" t="str">
        <f>VLOOKUP(A158,user!A:L,12,0)</f>
        <v>user4</v>
      </c>
    </row>
    <row r="159" spans="1:8" x14ac:dyDescent="0.2">
      <c r="A159">
        <v>4</v>
      </c>
      <c r="B159">
        <v>11</v>
      </c>
      <c r="C159">
        <v>1</v>
      </c>
      <c r="D159" t="s">
        <v>115</v>
      </c>
      <c r="E159" t="s">
        <v>105</v>
      </c>
      <c r="G159" s="2">
        <v>45769</v>
      </c>
      <c r="H159" t="str">
        <f>VLOOKUP(A159,user!A:L,12,0)</f>
        <v>user4</v>
      </c>
    </row>
    <row r="160" spans="1:8" x14ac:dyDescent="0.2">
      <c r="A160">
        <v>4</v>
      </c>
      <c r="B160">
        <v>18</v>
      </c>
      <c r="C160">
        <v>1</v>
      </c>
      <c r="D160" t="s">
        <v>116</v>
      </c>
      <c r="E160" t="s">
        <v>107</v>
      </c>
      <c r="G160" s="2">
        <v>45769</v>
      </c>
      <c r="H160" t="str">
        <f>VLOOKUP(A160,user!A:L,12,0)</f>
        <v>user4</v>
      </c>
    </row>
    <row r="161" spans="1:8" x14ac:dyDescent="0.2">
      <c r="A161">
        <v>4</v>
      </c>
      <c r="B161">
        <v>12</v>
      </c>
      <c r="C161">
        <v>1</v>
      </c>
      <c r="D161" t="s">
        <v>116</v>
      </c>
      <c r="E161" t="s">
        <v>105</v>
      </c>
      <c r="G161" s="2">
        <v>45769</v>
      </c>
      <c r="H161" t="str">
        <f>VLOOKUP(A161,user!A:L,12,0)</f>
        <v>user4</v>
      </c>
    </row>
    <row r="162" spans="1:8" x14ac:dyDescent="0.2">
      <c r="A162">
        <v>4</v>
      </c>
      <c r="B162">
        <v>34</v>
      </c>
      <c r="C162">
        <v>1</v>
      </c>
      <c r="D162" t="s">
        <v>117</v>
      </c>
      <c r="E162" t="s">
        <v>108</v>
      </c>
      <c r="G162" s="2">
        <v>45769</v>
      </c>
      <c r="H162" t="str">
        <f>VLOOKUP(A162,user!A:L,12,0)</f>
        <v>user4</v>
      </c>
    </row>
    <row r="163" spans="1:8" x14ac:dyDescent="0.2">
      <c r="A163">
        <v>4</v>
      </c>
      <c r="B163">
        <v>3</v>
      </c>
      <c r="C163">
        <v>1</v>
      </c>
      <c r="D163" t="s">
        <v>114</v>
      </c>
      <c r="E163" t="s">
        <v>104</v>
      </c>
      <c r="G163" s="2">
        <v>45770</v>
      </c>
      <c r="H163" t="str">
        <f>VLOOKUP(A163,user!A:L,12,0)</f>
        <v>user4</v>
      </c>
    </row>
    <row r="164" spans="1:8" x14ac:dyDescent="0.2">
      <c r="A164">
        <v>4</v>
      </c>
      <c r="B164">
        <v>11</v>
      </c>
      <c r="C164">
        <v>1</v>
      </c>
      <c r="D164" t="s">
        <v>114</v>
      </c>
      <c r="E164" t="s">
        <v>106</v>
      </c>
      <c r="G164" s="2">
        <v>45770</v>
      </c>
      <c r="H164" t="str">
        <f>VLOOKUP(A164,user!A:L,12,0)</f>
        <v>user4</v>
      </c>
    </row>
    <row r="165" spans="1:8" x14ac:dyDescent="0.2">
      <c r="A165">
        <v>4</v>
      </c>
      <c r="B165">
        <v>27</v>
      </c>
      <c r="C165">
        <v>1</v>
      </c>
      <c r="D165" t="s">
        <v>115</v>
      </c>
      <c r="E165" t="s">
        <v>107</v>
      </c>
      <c r="G165" s="2">
        <v>45770</v>
      </c>
      <c r="H165" t="str">
        <f>VLOOKUP(A165,user!A:L,12,0)</f>
        <v>user4</v>
      </c>
    </row>
    <row r="166" spans="1:8" x14ac:dyDescent="0.2">
      <c r="A166">
        <v>4</v>
      </c>
      <c r="B166">
        <v>12</v>
      </c>
      <c r="C166">
        <v>1</v>
      </c>
      <c r="D166" t="s">
        <v>115</v>
      </c>
      <c r="E166" t="s">
        <v>105</v>
      </c>
      <c r="G166" s="2">
        <v>45770</v>
      </c>
      <c r="H166" t="str">
        <f>VLOOKUP(A166,user!A:L,12,0)</f>
        <v>user4</v>
      </c>
    </row>
    <row r="167" spans="1:8" x14ac:dyDescent="0.2">
      <c r="A167">
        <v>4</v>
      </c>
      <c r="B167">
        <v>19</v>
      </c>
      <c r="C167">
        <v>1</v>
      </c>
      <c r="D167" t="s">
        <v>116</v>
      </c>
      <c r="E167" t="s">
        <v>107</v>
      </c>
      <c r="G167" s="2">
        <v>45770</v>
      </c>
      <c r="H167" t="str">
        <f>VLOOKUP(A167,user!A:L,12,0)</f>
        <v>user4</v>
      </c>
    </row>
    <row r="168" spans="1:8" x14ac:dyDescent="0.2">
      <c r="A168">
        <v>4</v>
      </c>
      <c r="B168">
        <v>13</v>
      </c>
      <c r="C168">
        <v>1</v>
      </c>
      <c r="D168" t="s">
        <v>116</v>
      </c>
      <c r="E168" t="s">
        <v>105</v>
      </c>
      <c r="G168" s="2">
        <v>45770</v>
      </c>
      <c r="H168" t="str">
        <f>VLOOKUP(A168,user!A:L,12,0)</f>
        <v>user4</v>
      </c>
    </row>
    <row r="169" spans="1:8" x14ac:dyDescent="0.2">
      <c r="A169">
        <v>4</v>
      </c>
      <c r="B169">
        <v>35</v>
      </c>
      <c r="C169">
        <v>1</v>
      </c>
      <c r="D169" t="s">
        <v>117</v>
      </c>
      <c r="E169" t="s">
        <v>108</v>
      </c>
      <c r="G169" s="2">
        <v>45770</v>
      </c>
      <c r="H169" t="str">
        <f>VLOOKUP(A169,user!A:L,12,0)</f>
        <v>user4</v>
      </c>
    </row>
    <row r="170" spans="1:8" x14ac:dyDescent="0.2">
      <c r="A170">
        <v>4</v>
      </c>
      <c r="B170">
        <v>4</v>
      </c>
      <c r="C170">
        <v>1</v>
      </c>
      <c r="D170" t="s">
        <v>114</v>
      </c>
      <c r="E170" t="s">
        <v>104</v>
      </c>
      <c r="G170" s="2">
        <v>45771</v>
      </c>
      <c r="H170" t="str">
        <f>VLOOKUP(A170,user!A:L,12,0)</f>
        <v>user4</v>
      </c>
    </row>
    <row r="171" spans="1:8" x14ac:dyDescent="0.2">
      <c r="A171">
        <v>4</v>
      </c>
      <c r="B171">
        <v>12</v>
      </c>
      <c r="C171">
        <v>1</v>
      </c>
      <c r="D171" t="s">
        <v>114</v>
      </c>
      <c r="E171" t="s">
        <v>106</v>
      </c>
      <c r="G171" s="2">
        <v>45771</v>
      </c>
      <c r="H171" t="str">
        <f>VLOOKUP(A171,user!A:L,12,0)</f>
        <v>user4</v>
      </c>
    </row>
    <row r="172" spans="1:8" x14ac:dyDescent="0.2">
      <c r="A172">
        <v>4</v>
      </c>
      <c r="B172">
        <v>28</v>
      </c>
      <c r="C172">
        <v>1</v>
      </c>
      <c r="D172" t="s">
        <v>115</v>
      </c>
      <c r="E172" t="s">
        <v>107</v>
      </c>
      <c r="G172" s="2">
        <v>45771</v>
      </c>
      <c r="H172" t="str">
        <f>VLOOKUP(A172,user!A:L,12,0)</f>
        <v>user4</v>
      </c>
    </row>
    <row r="173" spans="1:8" x14ac:dyDescent="0.2">
      <c r="A173">
        <v>4</v>
      </c>
      <c r="B173">
        <v>13</v>
      </c>
      <c r="C173">
        <v>1</v>
      </c>
      <c r="D173" t="s">
        <v>115</v>
      </c>
      <c r="E173" t="s">
        <v>105</v>
      </c>
      <c r="G173" s="2">
        <v>45771</v>
      </c>
      <c r="H173" t="str">
        <f>VLOOKUP(A173,user!A:L,12,0)</f>
        <v>user4</v>
      </c>
    </row>
    <row r="174" spans="1:8" x14ac:dyDescent="0.2">
      <c r="A174">
        <v>4</v>
      </c>
      <c r="B174">
        <v>20</v>
      </c>
      <c r="C174">
        <v>1</v>
      </c>
      <c r="D174" t="s">
        <v>116</v>
      </c>
      <c r="E174" t="s">
        <v>107</v>
      </c>
      <c r="G174" s="2">
        <v>45771</v>
      </c>
      <c r="H174" t="str">
        <f>VLOOKUP(A174,user!A:L,12,0)</f>
        <v>user4</v>
      </c>
    </row>
    <row r="175" spans="1:8" x14ac:dyDescent="0.2">
      <c r="A175">
        <v>4</v>
      </c>
      <c r="B175">
        <v>14</v>
      </c>
      <c r="C175">
        <v>1</v>
      </c>
      <c r="D175" t="s">
        <v>116</v>
      </c>
      <c r="E175" t="s">
        <v>105</v>
      </c>
      <c r="G175" s="2">
        <v>45771</v>
      </c>
      <c r="H175" t="str">
        <f>VLOOKUP(A175,user!A:L,12,0)</f>
        <v>user4</v>
      </c>
    </row>
    <row r="176" spans="1:8" x14ac:dyDescent="0.2">
      <c r="A176">
        <v>4</v>
      </c>
      <c r="B176">
        <v>36</v>
      </c>
      <c r="C176">
        <v>1</v>
      </c>
      <c r="D176" t="s">
        <v>117</v>
      </c>
      <c r="E176" t="s">
        <v>108</v>
      </c>
      <c r="G176" s="2">
        <v>45771</v>
      </c>
      <c r="H176" t="str">
        <f>VLOOKUP(A176,user!A:L,12,0)</f>
        <v>user4</v>
      </c>
    </row>
    <row r="177" spans="1:8" x14ac:dyDescent="0.2">
      <c r="A177">
        <v>4</v>
      </c>
      <c r="B177">
        <v>5</v>
      </c>
      <c r="C177">
        <v>1</v>
      </c>
      <c r="D177" t="s">
        <v>114</v>
      </c>
      <c r="E177" t="s">
        <v>104</v>
      </c>
      <c r="G177" s="2">
        <v>45772</v>
      </c>
      <c r="H177" t="str">
        <f>VLOOKUP(A177,user!A:L,12,0)</f>
        <v>user4</v>
      </c>
    </row>
    <row r="178" spans="1:8" x14ac:dyDescent="0.2">
      <c r="A178">
        <v>4</v>
      </c>
      <c r="B178">
        <v>13</v>
      </c>
      <c r="C178">
        <v>1</v>
      </c>
      <c r="D178" t="s">
        <v>114</v>
      </c>
      <c r="E178" t="s">
        <v>106</v>
      </c>
      <c r="G178" s="2">
        <v>45772</v>
      </c>
      <c r="H178" t="str">
        <f>VLOOKUP(A178,user!A:L,12,0)</f>
        <v>user4</v>
      </c>
    </row>
    <row r="179" spans="1:8" x14ac:dyDescent="0.2">
      <c r="A179">
        <v>4</v>
      </c>
      <c r="B179">
        <v>29</v>
      </c>
      <c r="C179">
        <v>1</v>
      </c>
      <c r="D179" t="s">
        <v>115</v>
      </c>
      <c r="E179" t="s">
        <v>107</v>
      </c>
      <c r="G179" s="2">
        <v>45772</v>
      </c>
      <c r="H179" t="str">
        <f>VLOOKUP(A179,user!A:L,12,0)</f>
        <v>user4</v>
      </c>
    </row>
    <row r="180" spans="1:8" x14ac:dyDescent="0.2">
      <c r="A180">
        <v>4</v>
      </c>
      <c r="B180">
        <v>14</v>
      </c>
      <c r="C180">
        <v>1</v>
      </c>
      <c r="D180" t="s">
        <v>115</v>
      </c>
      <c r="E180" t="s">
        <v>105</v>
      </c>
      <c r="G180" s="2">
        <v>45772</v>
      </c>
      <c r="H180" t="str">
        <f>VLOOKUP(A180,user!A:L,12,0)</f>
        <v>user4</v>
      </c>
    </row>
    <row r="181" spans="1:8" x14ac:dyDescent="0.2">
      <c r="A181">
        <v>4</v>
      </c>
      <c r="B181">
        <v>21</v>
      </c>
      <c r="C181">
        <v>1</v>
      </c>
      <c r="D181" t="s">
        <v>116</v>
      </c>
      <c r="E181" t="s">
        <v>107</v>
      </c>
      <c r="G181" s="2">
        <v>45772</v>
      </c>
      <c r="H181" t="str">
        <f>VLOOKUP(A181,user!A:L,12,0)</f>
        <v>user4</v>
      </c>
    </row>
    <row r="182" spans="1:8" x14ac:dyDescent="0.2">
      <c r="A182">
        <v>4</v>
      </c>
      <c r="B182">
        <v>15</v>
      </c>
      <c r="C182">
        <v>1</v>
      </c>
      <c r="D182" t="s">
        <v>116</v>
      </c>
      <c r="E182" t="s">
        <v>105</v>
      </c>
      <c r="G182" s="2">
        <v>45772</v>
      </c>
      <c r="H182" t="str">
        <f>VLOOKUP(A182,user!A:L,12,0)</f>
        <v>user4</v>
      </c>
    </row>
    <row r="183" spans="1:8" x14ac:dyDescent="0.2">
      <c r="A183">
        <v>4</v>
      </c>
      <c r="B183">
        <v>37</v>
      </c>
      <c r="C183">
        <v>1</v>
      </c>
      <c r="D183" t="s">
        <v>117</v>
      </c>
      <c r="E183" t="s">
        <v>108</v>
      </c>
      <c r="G183" s="2">
        <v>45772</v>
      </c>
      <c r="H183" t="str">
        <f>VLOOKUP(A183,user!A:L,12,0)</f>
        <v>user4</v>
      </c>
    </row>
    <row r="184" spans="1:8" x14ac:dyDescent="0.2">
      <c r="A184">
        <v>4</v>
      </c>
      <c r="B184">
        <v>6</v>
      </c>
      <c r="C184">
        <v>1</v>
      </c>
      <c r="D184" t="s">
        <v>114</v>
      </c>
      <c r="E184" t="s">
        <v>104</v>
      </c>
      <c r="G184" s="2">
        <v>45773</v>
      </c>
      <c r="H184" t="str">
        <f>VLOOKUP(A184,user!A:L,12,0)</f>
        <v>user4</v>
      </c>
    </row>
    <row r="185" spans="1:8" x14ac:dyDescent="0.2">
      <c r="A185">
        <v>4</v>
      </c>
      <c r="B185">
        <v>14</v>
      </c>
      <c r="C185">
        <v>1</v>
      </c>
      <c r="D185" t="s">
        <v>114</v>
      </c>
      <c r="E185" t="s">
        <v>106</v>
      </c>
      <c r="G185" s="2">
        <v>45773</v>
      </c>
      <c r="H185" t="str">
        <f>VLOOKUP(A185,user!A:L,12,0)</f>
        <v>user4</v>
      </c>
    </row>
    <row r="186" spans="1:8" x14ac:dyDescent="0.2">
      <c r="A186">
        <v>4</v>
      </c>
      <c r="B186">
        <v>30</v>
      </c>
      <c r="C186">
        <v>1</v>
      </c>
      <c r="D186" t="s">
        <v>115</v>
      </c>
      <c r="E186" t="s">
        <v>107</v>
      </c>
      <c r="G186" s="2">
        <v>45773</v>
      </c>
      <c r="H186" t="str">
        <f>VLOOKUP(A186,user!A:L,12,0)</f>
        <v>user4</v>
      </c>
    </row>
    <row r="187" spans="1:8" x14ac:dyDescent="0.2">
      <c r="A187">
        <v>4</v>
      </c>
      <c r="B187">
        <v>15</v>
      </c>
      <c r="C187">
        <v>1</v>
      </c>
      <c r="D187" t="s">
        <v>115</v>
      </c>
      <c r="E187" t="s">
        <v>105</v>
      </c>
      <c r="G187" s="2">
        <v>45773</v>
      </c>
      <c r="H187" t="str">
        <f>VLOOKUP(A187,user!A:L,12,0)</f>
        <v>user4</v>
      </c>
    </row>
    <row r="188" spans="1:8" x14ac:dyDescent="0.2">
      <c r="A188">
        <v>4</v>
      </c>
      <c r="B188">
        <v>22</v>
      </c>
      <c r="C188">
        <v>1</v>
      </c>
      <c r="D188" t="s">
        <v>116</v>
      </c>
      <c r="E188" t="s">
        <v>107</v>
      </c>
      <c r="G188" s="2">
        <v>45773</v>
      </c>
      <c r="H188" t="str">
        <f>VLOOKUP(A188,user!A:L,12,0)</f>
        <v>user4</v>
      </c>
    </row>
    <row r="189" spans="1:8" x14ac:dyDescent="0.2">
      <c r="A189">
        <v>4</v>
      </c>
      <c r="B189">
        <v>16</v>
      </c>
      <c r="C189">
        <v>1</v>
      </c>
      <c r="D189" t="s">
        <v>116</v>
      </c>
      <c r="E189" t="s">
        <v>105</v>
      </c>
      <c r="G189" s="2">
        <v>45773</v>
      </c>
      <c r="H189" t="str">
        <f>VLOOKUP(A189,user!A:L,12,0)</f>
        <v>user4</v>
      </c>
    </row>
    <row r="190" spans="1:8" x14ac:dyDescent="0.2">
      <c r="A190">
        <v>4</v>
      </c>
      <c r="B190">
        <v>38</v>
      </c>
      <c r="C190">
        <v>1</v>
      </c>
      <c r="D190" t="s">
        <v>117</v>
      </c>
      <c r="E190" t="s">
        <v>108</v>
      </c>
      <c r="G190" s="2">
        <v>45773</v>
      </c>
      <c r="H190" t="str">
        <f>VLOOKUP(A190,user!A:L,12,0)</f>
        <v>user4</v>
      </c>
    </row>
    <row r="191" spans="1:8" x14ac:dyDescent="0.2">
      <c r="A191">
        <v>4</v>
      </c>
      <c r="B191">
        <v>7</v>
      </c>
      <c r="C191">
        <v>1</v>
      </c>
      <c r="D191" t="s">
        <v>114</v>
      </c>
      <c r="E191" t="s">
        <v>104</v>
      </c>
      <c r="G191" s="2">
        <v>45774</v>
      </c>
      <c r="H191" t="str">
        <f>VLOOKUP(A191,user!A:L,12,0)</f>
        <v>user4</v>
      </c>
    </row>
    <row r="192" spans="1:8" x14ac:dyDescent="0.2">
      <c r="A192">
        <v>4</v>
      </c>
      <c r="B192">
        <v>15</v>
      </c>
      <c r="C192">
        <v>1</v>
      </c>
      <c r="D192" t="s">
        <v>114</v>
      </c>
      <c r="E192" t="s">
        <v>106</v>
      </c>
      <c r="G192" s="2">
        <v>45774</v>
      </c>
      <c r="H192" t="str">
        <f>VLOOKUP(A192,user!A:L,12,0)</f>
        <v>user4</v>
      </c>
    </row>
    <row r="193" spans="1:8" x14ac:dyDescent="0.2">
      <c r="A193">
        <v>4</v>
      </c>
      <c r="B193">
        <v>31</v>
      </c>
      <c r="C193">
        <v>1</v>
      </c>
      <c r="D193" t="s">
        <v>115</v>
      </c>
      <c r="E193" t="s">
        <v>107</v>
      </c>
      <c r="G193" s="2">
        <v>45774</v>
      </c>
      <c r="H193" t="str">
        <f>VLOOKUP(A193,user!A:L,12,0)</f>
        <v>user4</v>
      </c>
    </row>
    <row r="194" spans="1:8" x14ac:dyDescent="0.2">
      <c r="A194">
        <v>4</v>
      </c>
      <c r="B194">
        <v>16</v>
      </c>
      <c r="C194">
        <v>1</v>
      </c>
      <c r="D194" t="s">
        <v>115</v>
      </c>
      <c r="E194" t="s">
        <v>105</v>
      </c>
      <c r="G194" s="2">
        <v>45774</v>
      </c>
      <c r="H194" t="str">
        <f>VLOOKUP(A194,user!A:L,12,0)</f>
        <v>user4</v>
      </c>
    </row>
    <row r="195" spans="1:8" x14ac:dyDescent="0.2">
      <c r="A195">
        <v>4</v>
      </c>
      <c r="B195">
        <v>23</v>
      </c>
      <c r="C195">
        <v>1</v>
      </c>
      <c r="D195" t="s">
        <v>116</v>
      </c>
      <c r="E195" t="s">
        <v>107</v>
      </c>
      <c r="G195" s="2">
        <v>45774</v>
      </c>
      <c r="H195" t="str">
        <f>VLOOKUP(A195,user!A:L,12,0)</f>
        <v>user4</v>
      </c>
    </row>
    <row r="196" spans="1:8" x14ac:dyDescent="0.2">
      <c r="A196">
        <v>4</v>
      </c>
      <c r="B196">
        <v>9</v>
      </c>
      <c r="C196">
        <v>1</v>
      </c>
      <c r="D196" t="s">
        <v>116</v>
      </c>
      <c r="E196" t="s">
        <v>105</v>
      </c>
      <c r="G196" s="2">
        <v>45774</v>
      </c>
      <c r="H196" t="str">
        <f>VLOOKUP(A196,user!A:L,12,0)</f>
        <v>user4</v>
      </c>
    </row>
    <row r="197" spans="1:8" x14ac:dyDescent="0.2">
      <c r="A197">
        <v>4</v>
      </c>
      <c r="B197">
        <v>32</v>
      </c>
      <c r="C197">
        <v>1</v>
      </c>
      <c r="D197" t="s">
        <v>117</v>
      </c>
      <c r="E197" t="s">
        <v>108</v>
      </c>
      <c r="G197" s="2">
        <v>45774</v>
      </c>
      <c r="H197" t="str">
        <f>VLOOKUP(A197,user!A:L,12,0)</f>
        <v>user4</v>
      </c>
    </row>
    <row r="198" spans="1:8" x14ac:dyDescent="0.2">
      <c r="A198">
        <v>5</v>
      </c>
      <c r="B198">
        <v>1</v>
      </c>
      <c r="C198">
        <v>1</v>
      </c>
      <c r="D198" t="s">
        <v>114</v>
      </c>
      <c r="E198" t="s">
        <v>104</v>
      </c>
      <c r="G198" s="2">
        <v>45768</v>
      </c>
      <c r="H198" t="str">
        <f>VLOOKUP(A198,user!A:L,12,0)</f>
        <v>user5</v>
      </c>
    </row>
    <row r="199" spans="1:8" x14ac:dyDescent="0.2">
      <c r="A199">
        <v>5</v>
      </c>
      <c r="B199">
        <v>9</v>
      </c>
      <c r="C199">
        <v>1</v>
      </c>
      <c r="D199" t="s">
        <v>114</v>
      </c>
      <c r="E199" t="s">
        <v>106</v>
      </c>
      <c r="G199" s="2">
        <v>45768</v>
      </c>
      <c r="H199" t="str">
        <f>VLOOKUP(A199,user!A:L,12,0)</f>
        <v>user5</v>
      </c>
    </row>
    <row r="200" spans="1:8" x14ac:dyDescent="0.2">
      <c r="A200">
        <v>5</v>
      </c>
      <c r="B200">
        <v>25</v>
      </c>
      <c r="C200">
        <v>1</v>
      </c>
      <c r="D200" t="s">
        <v>115</v>
      </c>
      <c r="E200" t="s">
        <v>107</v>
      </c>
      <c r="G200" s="2">
        <v>45768</v>
      </c>
      <c r="H200" t="str">
        <f>VLOOKUP(A200,user!A:L,12,0)</f>
        <v>user5</v>
      </c>
    </row>
    <row r="201" spans="1:8" x14ac:dyDescent="0.2">
      <c r="A201">
        <v>5</v>
      </c>
      <c r="B201">
        <v>10</v>
      </c>
      <c r="C201">
        <v>1</v>
      </c>
      <c r="D201" t="s">
        <v>115</v>
      </c>
      <c r="E201" t="s">
        <v>105</v>
      </c>
      <c r="G201" s="2">
        <v>45768</v>
      </c>
      <c r="H201" t="str">
        <f>VLOOKUP(A201,user!A:L,12,0)</f>
        <v>user5</v>
      </c>
    </row>
    <row r="202" spans="1:8" x14ac:dyDescent="0.2">
      <c r="A202">
        <v>5</v>
      </c>
      <c r="B202">
        <v>17</v>
      </c>
      <c r="C202">
        <v>1</v>
      </c>
      <c r="D202" t="s">
        <v>116</v>
      </c>
      <c r="E202" t="s">
        <v>107</v>
      </c>
      <c r="G202" s="2">
        <v>45768</v>
      </c>
      <c r="H202" t="str">
        <f>VLOOKUP(A202,user!A:L,12,0)</f>
        <v>user5</v>
      </c>
    </row>
    <row r="203" spans="1:8" x14ac:dyDescent="0.2">
      <c r="A203">
        <v>5</v>
      </c>
      <c r="B203">
        <v>11</v>
      </c>
      <c r="C203">
        <v>1</v>
      </c>
      <c r="D203" t="s">
        <v>116</v>
      </c>
      <c r="E203" t="s">
        <v>105</v>
      </c>
      <c r="G203" s="2">
        <v>45768</v>
      </c>
      <c r="H203" t="str">
        <f>VLOOKUP(A203,user!A:L,12,0)</f>
        <v>user5</v>
      </c>
    </row>
    <row r="204" spans="1:8" x14ac:dyDescent="0.2">
      <c r="A204">
        <v>5</v>
      </c>
      <c r="B204">
        <v>33</v>
      </c>
      <c r="C204">
        <v>1</v>
      </c>
      <c r="D204" t="s">
        <v>117</v>
      </c>
      <c r="E204" t="s">
        <v>108</v>
      </c>
      <c r="G204" s="2">
        <v>45768</v>
      </c>
      <c r="H204" t="str">
        <f>VLOOKUP(A204,user!A:L,12,0)</f>
        <v>user5</v>
      </c>
    </row>
    <row r="205" spans="1:8" x14ac:dyDescent="0.2">
      <c r="A205">
        <v>5</v>
      </c>
      <c r="B205">
        <v>2</v>
      </c>
      <c r="C205">
        <v>1</v>
      </c>
      <c r="D205" t="s">
        <v>114</v>
      </c>
      <c r="E205" t="s">
        <v>104</v>
      </c>
      <c r="G205" s="2">
        <v>45769</v>
      </c>
      <c r="H205" t="str">
        <f>VLOOKUP(A205,user!A:L,12,0)</f>
        <v>user5</v>
      </c>
    </row>
    <row r="206" spans="1:8" x14ac:dyDescent="0.2">
      <c r="A206">
        <v>5</v>
      </c>
      <c r="B206">
        <v>10</v>
      </c>
      <c r="C206">
        <v>1</v>
      </c>
      <c r="D206" t="s">
        <v>114</v>
      </c>
      <c r="E206" t="s">
        <v>106</v>
      </c>
      <c r="G206" s="2">
        <v>45769</v>
      </c>
      <c r="H206" t="str">
        <f>VLOOKUP(A206,user!A:L,12,0)</f>
        <v>user5</v>
      </c>
    </row>
    <row r="207" spans="1:8" x14ac:dyDescent="0.2">
      <c r="A207">
        <v>5</v>
      </c>
      <c r="B207">
        <v>26</v>
      </c>
      <c r="C207">
        <v>1</v>
      </c>
      <c r="D207" t="s">
        <v>115</v>
      </c>
      <c r="E207" t="s">
        <v>107</v>
      </c>
      <c r="G207" s="2">
        <v>45769</v>
      </c>
      <c r="H207" t="str">
        <f>VLOOKUP(A207,user!A:L,12,0)</f>
        <v>user5</v>
      </c>
    </row>
    <row r="208" spans="1:8" x14ac:dyDescent="0.2">
      <c r="A208">
        <v>5</v>
      </c>
      <c r="B208">
        <v>11</v>
      </c>
      <c r="C208">
        <v>1</v>
      </c>
      <c r="D208" t="s">
        <v>115</v>
      </c>
      <c r="E208" t="s">
        <v>105</v>
      </c>
      <c r="G208" s="2">
        <v>45769</v>
      </c>
      <c r="H208" t="str">
        <f>VLOOKUP(A208,user!A:L,12,0)</f>
        <v>user5</v>
      </c>
    </row>
    <row r="209" spans="1:8" x14ac:dyDescent="0.2">
      <c r="A209">
        <v>5</v>
      </c>
      <c r="B209">
        <v>18</v>
      </c>
      <c r="C209">
        <v>1</v>
      </c>
      <c r="D209" t="s">
        <v>116</v>
      </c>
      <c r="E209" t="s">
        <v>107</v>
      </c>
      <c r="G209" s="2">
        <v>45769</v>
      </c>
      <c r="H209" t="str">
        <f>VLOOKUP(A209,user!A:L,12,0)</f>
        <v>user5</v>
      </c>
    </row>
    <row r="210" spans="1:8" x14ac:dyDescent="0.2">
      <c r="A210">
        <v>5</v>
      </c>
      <c r="B210">
        <v>12</v>
      </c>
      <c r="C210">
        <v>1</v>
      </c>
      <c r="D210" t="s">
        <v>116</v>
      </c>
      <c r="E210" t="s">
        <v>105</v>
      </c>
      <c r="G210" s="2">
        <v>45769</v>
      </c>
      <c r="H210" t="str">
        <f>VLOOKUP(A210,user!A:L,12,0)</f>
        <v>user5</v>
      </c>
    </row>
    <row r="211" spans="1:8" x14ac:dyDescent="0.2">
      <c r="A211">
        <v>5</v>
      </c>
      <c r="B211">
        <v>34</v>
      </c>
      <c r="C211">
        <v>1</v>
      </c>
      <c r="D211" t="s">
        <v>117</v>
      </c>
      <c r="E211" t="s">
        <v>108</v>
      </c>
      <c r="G211" s="2">
        <v>45769</v>
      </c>
      <c r="H211" t="str">
        <f>VLOOKUP(A211,user!A:L,12,0)</f>
        <v>user5</v>
      </c>
    </row>
    <row r="212" spans="1:8" x14ac:dyDescent="0.2">
      <c r="A212">
        <v>5</v>
      </c>
      <c r="B212">
        <v>3</v>
      </c>
      <c r="C212">
        <v>1</v>
      </c>
      <c r="D212" t="s">
        <v>114</v>
      </c>
      <c r="E212" t="s">
        <v>104</v>
      </c>
      <c r="G212" s="2">
        <v>45770</v>
      </c>
      <c r="H212" t="str">
        <f>VLOOKUP(A212,user!A:L,12,0)</f>
        <v>user5</v>
      </c>
    </row>
    <row r="213" spans="1:8" x14ac:dyDescent="0.2">
      <c r="A213">
        <v>5</v>
      </c>
      <c r="B213">
        <v>11</v>
      </c>
      <c r="C213">
        <v>1</v>
      </c>
      <c r="D213" t="s">
        <v>114</v>
      </c>
      <c r="E213" t="s">
        <v>106</v>
      </c>
      <c r="G213" s="2">
        <v>45770</v>
      </c>
      <c r="H213" t="str">
        <f>VLOOKUP(A213,user!A:L,12,0)</f>
        <v>user5</v>
      </c>
    </row>
    <row r="214" spans="1:8" x14ac:dyDescent="0.2">
      <c r="A214">
        <v>5</v>
      </c>
      <c r="B214">
        <v>27</v>
      </c>
      <c r="C214">
        <v>1</v>
      </c>
      <c r="D214" t="s">
        <v>115</v>
      </c>
      <c r="E214" t="s">
        <v>107</v>
      </c>
      <c r="G214" s="2">
        <v>45770</v>
      </c>
      <c r="H214" t="str">
        <f>VLOOKUP(A214,user!A:L,12,0)</f>
        <v>user5</v>
      </c>
    </row>
    <row r="215" spans="1:8" x14ac:dyDescent="0.2">
      <c r="A215">
        <v>5</v>
      </c>
      <c r="B215">
        <v>12</v>
      </c>
      <c r="C215">
        <v>1</v>
      </c>
      <c r="D215" t="s">
        <v>115</v>
      </c>
      <c r="E215" t="s">
        <v>105</v>
      </c>
      <c r="G215" s="2">
        <v>45770</v>
      </c>
      <c r="H215" t="str">
        <f>VLOOKUP(A215,user!A:L,12,0)</f>
        <v>user5</v>
      </c>
    </row>
    <row r="216" spans="1:8" x14ac:dyDescent="0.2">
      <c r="A216">
        <v>5</v>
      </c>
      <c r="B216">
        <v>19</v>
      </c>
      <c r="C216">
        <v>1</v>
      </c>
      <c r="D216" t="s">
        <v>116</v>
      </c>
      <c r="E216" t="s">
        <v>107</v>
      </c>
      <c r="G216" s="2">
        <v>45770</v>
      </c>
      <c r="H216" t="str">
        <f>VLOOKUP(A216,user!A:L,12,0)</f>
        <v>user5</v>
      </c>
    </row>
    <row r="217" spans="1:8" x14ac:dyDescent="0.2">
      <c r="A217">
        <v>5</v>
      </c>
      <c r="B217">
        <v>13</v>
      </c>
      <c r="C217">
        <v>1</v>
      </c>
      <c r="D217" t="s">
        <v>116</v>
      </c>
      <c r="E217" t="s">
        <v>105</v>
      </c>
      <c r="G217" s="2">
        <v>45770</v>
      </c>
      <c r="H217" t="str">
        <f>VLOOKUP(A217,user!A:L,12,0)</f>
        <v>user5</v>
      </c>
    </row>
    <row r="218" spans="1:8" x14ac:dyDescent="0.2">
      <c r="A218">
        <v>5</v>
      </c>
      <c r="B218">
        <v>35</v>
      </c>
      <c r="C218">
        <v>1</v>
      </c>
      <c r="D218" t="s">
        <v>117</v>
      </c>
      <c r="E218" t="s">
        <v>108</v>
      </c>
      <c r="G218" s="2">
        <v>45770</v>
      </c>
      <c r="H218" t="str">
        <f>VLOOKUP(A218,user!A:L,12,0)</f>
        <v>user5</v>
      </c>
    </row>
    <row r="219" spans="1:8" x14ac:dyDescent="0.2">
      <c r="A219">
        <v>5</v>
      </c>
      <c r="B219">
        <v>4</v>
      </c>
      <c r="C219">
        <v>1</v>
      </c>
      <c r="D219" t="s">
        <v>114</v>
      </c>
      <c r="E219" t="s">
        <v>104</v>
      </c>
      <c r="G219" s="2">
        <v>45771</v>
      </c>
      <c r="H219" t="str">
        <f>VLOOKUP(A219,user!A:L,12,0)</f>
        <v>user5</v>
      </c>
    </row>
    <row r="220" spans="1:8" x14ac:dyDescent="0.2">
      <c r="A220">
        <v>5</v>
      </c>
      <c r="B220">
        <v>12</v>
      </c>
      <c r="C220">
        <v>1</v>
      </c>
      <c r="D220" t="s">
        <v>114</v>
      </c>
      <c r="E220" t="s">
        <v>106</v>
      </c>
      <c r="G220" s="2">
        <v>45771</v>
      </c>
      <c r="H220" t="str">
        <f>VLOOKUP(A220,user!A:L,12,0)</f>
        <v>user5</v>
      </c>
    </row>
    <row r="221" spans="1:8" x14ac:dyDescent="0.2">
      <c r="A221">
        <v>5</v>
      </c>
      <c r="B221">
        <v>28</v>
      </c>
      <c r="C221">
        <v>1</v>
      </c>
      <c r="D221" t="s">
        <v>115</v>
      </c>
      <c r="E221" t="s">
        <v>107</v>
      </c>
      <c r="G221" s="2">
        <v>45771</v>
      </c>
      <c r="H221" t="str">
        <f>VLOOKUP(A221,user!A:L,12,0)</f>
        <v>user5</v>
      </c>
    </row>
    <row r="222" spans="1:8" x14ac:dyDescent="0.2">
      <c r="A222">
        <v>5</v>
      </c>
      <c r="B222">
        <v>13</v>
      </c>
      <c r="C222">
        <v>1</v>
      </c>
      <c r="D222" t="s">
        <v>115</v>
      </c>
      <c r="E222" t="s">
        <v>105</v>
      </c>
      <c r="G222" s="2">
        <v>45771</v>
      </c>
      <c r="H222" t="str">
        <f>VLOOKUP(A222,user!A:L,12,0)</f>
        <v>user5</v>
      </c>
    </row>
    <row r="223" spans="1:8" x14ac:dyDescent="0.2">
      <c r="A223">
        <v>5</v>
      </c>
      <c r="B223">
        <v>20</v>
      </c>
      <c r="C223">
        <v>1</v>
      </c>
      <c r="D223" t="s">
        <v>116</v>
      </c>
      <c r="E223" t="s">
        <v>107</v>
      </c>
      <c r="G223" s="2">
        <v>45771</v>
      </c>
      <c r="H223" t="str">
        <f>VLOOKUP(A223,user!A:L,12,0)</f>
        <v>user5</v>
      </c>
    </row>
    <row r="224" spans="1:8" x14ac:dyDescent="0.2">
      <c r="A224">
        <v>5</v>
      </c>
      <c r="B224">
        <v>14</v>
      </c>
      <c r="C224">
        <v>1</v>
      </c>
      <c r="D224" t="s">
        <v>116</v>
      </c>
      <c r="E224" t="s">
        <v>105</v>
      </c>
      <c r="G224" s="2">
        <v>45771</v>
      </c>
      <c r="H224" t="str">
        <f>VLOOKUP(A224,user!A:L,12,0)</f>
        <v>user5</v>
      </c>
    </row>
    <row r="225" spans="1:8" x14ac:dyDescent="0.2">
      <c r="A225">
        <v>5</v>
      </c>
      <c r="B225">
        <v>36</v>
      </c>
      <c r="C225">
        <v>1</v>
      </c>
      <c r="D225" t="s">
        <v>117</v>
      </c>
      <c r="E225" t="s">
        <v>108</v>
      </c>
      <c r="G225" s="2">
        <v>45771</v>
      </c>
      <c r="H225" t="str">
        <f>VLOOKUP(A225,user!A:L,12,0)</f>
        <v>user5</v>
      </c>
    </row>
    <row r="226" spans="1:8" x14ac:dyDescent="0.2">
      <c r="A226">
        <v>5</v>
      </c>
      <c r="B226">
        <v>5</v>
      </c>
      <c r="C226">
        <v>1</v>
      </c>
      <c r="D226" t="s">
        <v>114</v>
      </c>
      <c r="E226" t="s">
        <v>104</v>
      </c>
      <c r="G226" s="2">
        <v>45772</v>
      </c>
      <c r="H226" t="str">
        <f>VLOOKUP(A226,user!A:L,12,0)</f>
        <v>user5</v>
      </c>
    </row>
    <row r="227" spans="1:8" x14ac:dyDescent="0.2">
      <c r="A227">
        <v>5</v>
      </c>
      <c r="B227">
        <v>13</v>
      </c>
      <c r="C227">
        <v>1</v>
      </c>
      <c r="D227" t="s">
        <v>114</v>
      </c>
      <c r="E227" t="s">
        <v>106</v>
      </c>
      <c r="G227" s="2">
        <v>45772</v>
      </c>
      <c r="H227" t="str">
        <f>VLOOKUP(A227,user!A:L,12,0)</f>
        <v>user5</v>
      </c>
    </row>
    <row r="228" spans="1:8" x14ac:dyDescent="0.2">
      <c r="A228">
        <v>5</v>
      </c>
      <c r="B228">
        <v>29</v>
      </c>
      <c r="C228">
        <v>1</v>
      </c>
      <c r="D228" t="s">
        <v>115</v>
      </c>
      <c r="E228" t="s">
        <v>107</v>
      </c>
      <c r="G228" s="2">
        <v>45772</v>
      </c>
      <c r="H228" t="str">
        <f>VLOOKUP(A228,user!A:L,12,0)</f>
        <v>user5</v>
      </c>
    </row>
    <row r="229" spans="1:8" x14ac:dyDescent="0.2">
      <c r="A229">
        <v>5</v>
      </c>
      <c r="B229">
        <v>14</v>
      </c>
      <c r="C229">
        <v>1</v>
      </c>
      <c r="D229" t="s">
        <v>115</v>
      </c>
      <c r="E229" t="s">
        <v>105</v>
      </c>
      <c r="G229" s="2">
        <v>45772</v>
      </c>
      <c r="H229" t="str">
        <f>VLOOKUP(A229,user!A:L,12,0)</f>
        <v>user5</v>
      </c>
    </row>
    <row r="230" spans="1:8" x14ac:dyDescent="0.2">
      <c r="A230">
        <v>5</v>
      </c>
      <c r="B230">
        <v>21</v>
      </c>
      <c r="C230">
        <v>1</v>
      </c>
      <c r="D230" t="s">
        <v>116</v>
      </c>
      <c r="E230" t="s">
        <v>107</v>
      </c>
      <c r="G230" s="2">
        <v>45772</v>
      </c>
      <c r="H230" t="str">
        <f>VLOOKUP(A230,user!A:L,12,0)</f>
        <v>user5</v>
      </c>
    </row>
    <row r="231" spans="1:8" x14ac:dyDescent="0.2">
      <c r="A231">
        <v>5</v>
      </c>
      <c r="B231">
        <v>15</v>
      </c>
      <c r="C231">
        <v>1</v>
      </c>
      <c r="D231" t="s">
        <v>116</v>
      </c>
      <c r="E231" t="s">
        <v>105</v>
      </c>
      <c r="G231" s="2">
        <v>45772</v>
      </c>
      <c r="H231" t="str">
        <f>VLOOKUP(A231,user!A:L,12,0)</f>
        <v>user5</v>
      </c>
    </row>
    <row r="232" spans="1:8" x14ac:dyDescent="0.2">
      <c r="A232">
        <v>5</v>
      </c>
      <c r="B232">
        <v>37</v>
      </c>
      <c r="C232">
        <v>1</v>
      </c>
      <c r="D232" t="s">
        <v>117</v>
      </c>
      <c r="E232" t="s">
        <v>108</v>
      </c>
      <c r="G232" s="2">
        <v>45772</v>
      </c>
      <c r="H232" t="str">
        <f>VLOOKUP(A232,user!A:L,12,0)</f>
        <v>user5</v>
      </c>
    </row>
    <row r="233" spans="1:8" x14ac:dyDescent="0.2">
      <c r="A233">
        <v>5</v>
      </c>
      <c r="B233">
        <v>6</v>
      </c>
      <c r="C233">
        <v>1</v>
      </c>
      <c r="D233" t="s">
        <v>114</v>
      </c>
      <c r="E233" t="s">
        <v>104</v>
      </c>
      <c r="G233" s="2">
        <v>45773</v>
      </c>
      <c r="H233" t="str">
        <f>VLOOKUP(A233,user!A:L,12,0)</f>
        <v>user5</v>
      </c>
    </row>
    <row r="234" spans="1:8" x14ac:dyDescent="0.2">
      <c r="A234">
        <v>5</v>
      </c>
      <c r="B234">
        <v>14</v>
      </c>
      <c r="C234">
        <v>1</v>
      </c>
      <c r="D234" t="s">
        <v>114</v>
      </c>
      <c r="E234" t="s">
        <v>106</v>
      </c>
      <c r="G234" s="2">
        <v>45773</v>
      </c>
      <c r="H234" t="str">
        <f>VLOOKUP(A234,user!A:L,12,0)</f>
        <v>user5</v>
      </c>
    </row>
    <row r="235" spans="1:8" x14ac:dyDescent="0.2">
      <c r="A235">
        <v>5</v>
      </c>
      <c r="B235">
        <v>30</v>
      </c>
      <c r="C235">
        <v>1</v>
      </c>
      <c r="D235" t="s">
        <v>115</v>
      </c>
      <c r="E235" t="s">
        <v>107</v>
      </c>
      <c r="G235" s="2">
        <v>45773</v>
      </c>
      <c r="H235" t="str">
        <f>VLOOKUP(A235,user!A:L,12,0)</f>
        <v>user5</v>
      </c>
    </row>
    <row r="236" spans="1:8" x14ac:dyDescent="0.2">
      <c r="A236">
        <v>5</v>
      </c>
      <c r="B236">
        <v>15</v>
      </c>
      <c r="C236">
        <v>1</v>
      </c>
      <c r="D236" t="s">
        <v>115</v>
      </c>
      <c r="E236" t="s">
        <v>105</v>
      </c>
      <c r="G236" s="2">
        <v>45773</v>
      </c>
      <c r="H236" t="str">
        <f>VLOOKUP(A236,user!A:L,12,0)</f>
        <v>user5</v>
      </c>
    </row>
    <row r="237" spans="1:8" x14ac:dyDescent="0.2">
      <c r="A237">
        <v>5</v>
      </c>
      <c r="B237">
        <v>22</v>
      </c>
      <c r="C237">
        <v>1</v>
      </c>
      <c r="D237" t="s">
        <v>116</v>
      </c>
      <c r="E237" t="s">
        <v>107</v>
      </c>
      <c r="G237" s="2">
        <v>45773</v>
      </c>
      <c r="H237" t="str">
        <f>VLOOKUP(A237,user!A:L,12,0)</f>
        <v>user5</v>
      </c>
    </row>
    <row r="238" spans="1:8" x14ac:dyDescent="0.2">
      <c r="A238">
        <v>5</v>
      </c>
      <c r="B238">
        <v>16</v>
      </c>
      <c r="C238">
        <v>1</v>
      </c>
      <c r="D238" t="s">
        <v>116</v>
      </c>
      <c r="E238" t="s">
        <v>105</v>
      </c>
      <c r="G238" s="2">
        <v>45773</v>
      </c>
      <c r="H238" t="str">
        <f>VLOOKUP(A238,user!A:L,12,0)</f>
        <v>user5</v>
      </c>
    </row>
    <row r="239" spans="1:8" x14ac:dyDescent="0.2">
      <c r="A239">
        <v>5</v>
      </c>
      <c r="B239">
        <v>38</v>
      </c>
      <c r="C239">
        <v>1</v>
      </c>
      <c r="D239" t="s">
        <v>117</v>
      </c>
      <c r="E239" t="s">
        <v>108</v>
      </c>
      <c r="G239" s="2">
        <v>45773</v>
      </c>
      <c r="H239" t="str">
        <f>VLOOKUP(A239,user!A:L,12,0)</f>
        <v>user5</v>
      </c>
    </row>
    <row r="240" spans="1:8" x14ac:dyDescent="0.2">
      <c r="A240">
        <v>5</v>
      </c>
      <c r="B240">
        <v>7</v>
      </c>
      <c r="C240">
        <v>1</v>
      </c>
      <c r="D240" t="s">
        <v>114</v>
      </c>
      <c r="E240" t="s">
        <v>104</v>
      </c>
      <c r="G240" s="2">
        <v>45774</v>
      </c>
      <c r="H240" t="str">
        <f>VLOOKUP(A240,user!A:L,12,0)</f>
        <v>user5</v>
      </c>
    </row>
    <row r="241" spans="1:8" x14ac:dyDescent="0.2">
      <c r="A241">
        <v>5</v>
      </c>
      <c r="B241">
        <v>15</v>
      </c>
      <c r="C241">
        <v>1</v>
      </c>
      <c r="D241" t="s">
        <v>114</v>
      </c>
      <c r="E241" t="s">
        <v>106</v>
      </c>
      <c r="G241" s="2">
        <v>45774</v>
      </c>
      <c r="H241" t="str">
        <f>VLOOKUP(A241,user!A:L,12,0)</f>
        <v>user5</v>
      </c>
    </row>
    <row r="242" spans="1:8" x14ac:dyDescent="0.2">
      <c r="A242">
        <v>5</v>
      </c>
      <c r="B242">
        <v>31</v>
      </c>
      <c r="C242">
        <v>1</v>
      </c>
      <c r="D242" t="s">
        <v>115</v>
      </c>
      <c r="E242" t="s">
        <v>107</v>
      </c>
      <c r="G242" s="2">
        <v>45774</v>
      </c>
      <c r="H242" t="str">
        <f>VLOOKUP(A242,user!A:L,12,0)</f>
        <v>user5</v>
      </c>
    </row>
    <row r="243" spans="1:8" x14ac:dyDescent="0.2">
      <c r="A243">
        <v>5</v>
      </c>
      <c r="B243">
        <v>16</v>
      </c>
      <c r="C243">
        <v>1</v>
      </c>
      <c r="D243" t="s">
        <v>115</v>
      </c>
      <c r="E243" t="s">
        <v>105</v>
      </c>
      <c r="G243" s="2">
        <v>45774</v>
      </c>
      <c r="H243" t="str">
        <f>VLOOKUP(A243,user!A:L,12,0)</f>
        <v>user5</v>
      </c>
    </row>
    <row r="244" spans="1:8" x14ac:dyDescent="0.2">
      <c r="A244">
        <v>5</v>
      </c>
      <c r="B244">
        <v>23</v>
      </c>
      <c r="C244">
        <v>1</v>
      </c>
      <c r="D244" t="s">
        <v>116</v>
      </c>
      <c r="E244" t="s">
        <v>107</v>
      </c>
      <c r="G244" s="2">
        <v>45774</v>
      </c>
      <c r="H244" t="str">
        <f>VLOOKUP(A244,user!A:L,12,0)</f>
        <v>user5</v>
      </c>
    </row>
    <row r="245" spans="1:8" x14ac:dyDescent="0.2">
      <c r="A245">
        <v>5</v>
      </c>
      <c r="B245">
        <v>9</v>
      </c>
      <c r="C245">
        <v>1</v>
      </c>
      <c r="D245" t="s">
        <v>116</v>
      </c>
      <c r="E245" t="s">
        <v>105</v>
      </c>
      <c r="G245" s="2">
        <v>45774</v>
      </c>
      <c r="H245" t="str">
        <f>VLOOKUP(A245,user!A:L,12,0)</f>
        <v>user5</v>
      </c>
    </row>
    <row r="246" spans="1:8" x14ac:dyDescent="0.2">
      <c r="A246">
        <v>5</v>
      </c>
      <c r="B246">
        <v>32</v>
      </c>
      <c r="C246">
        <v>1</v>
      </c>
      <c r="D246" t="s">
        <v>117</v>
      </c>
      <c r="E246" t="s">
        <v>108</v>
      </c>
      <c r="G246" s="2">
        <v>45774</v>
      </c>
      <c r="H246" t="str">
        <f>VLOOKUP(A246,user!A:L,12,0)</f>
        <v>user5</v>
      </c>
    </row>
    <row r="247" spans="1:8" x14ac:dyDescent="0.2">
      <c r="A247">
        <v>6</v>
      </c>
      <c r="B247">
        <v>1</v>
      </c>
      <c r="C247">
        <v>1</v>
      </c>
      <c r="D247" t="s">
        <v>114</v>
      </c>
      <c r="E247" t="s">
        <v>104</v>
      </c>
      <c r="G247" s="2">
        <v>45768</v>
      </c>
      <c r="H247" t="str">
        <f>VLOOKUP(A247,user!A:L,12,0)</f>
        <v>user6</v>
      </c>
    </row>
    <row r="248" spans="1:8" x14ac:dyDescent="0.2">
      <c r="A248">
        <v>6</v>
      </c>
      <c r="B248">
        <v>9</v>
      </c>
      <c r="C248">
        <v>1</v>
      </c>
      <c r="D248" t="s">
        <v>114</v>
      </c>
      <c r="E248" t="s">
        <v>106</v>
      </c>
      <c r="G248" s="2">
        <v>45768</v>
      </c>
      <c r="H248" t="str">
        <f>VLOOKUP(A248,user!A:L,12,0)</f>
        <v>user6</v>
      </c>
    </row>
    <row r="249" spans="1:8" x14ac:dyDescent="0.2">
      <c r="A249">
        <v>6</v>
      </c>
      <c r="B249">
        <v>25</v>
      </c>
      <c r="C249">
        <v>1</v>
      </c>
      <c r="D249" t="s">
        <v>115</v>
      </c>
      <c r="E249" t="s">
        <v>107</v>
      </c>
      <c r="G249" s="2">
        <v>45768</v>
      </c>
      <c r="H249" t="str">
        <f>VLOOKUP(A249,user!A:L,12,0)</f>
        <v>user6</v>
      </c>
    </row>
    <row r="250" spans="1:8" x14ac:dyDescent="0.2">
      <c r="A250">
        <v>6</v>
      </c>
      <c r="B250">
        <v>10</v>
      </c>
      <c r="C250">
        <v>1</v>
      </c>
      <c r="D250" t="s">
        <v>115</v>
      </c>
      <c r="E250" t="s">
        <v>105</v>
      </c>
      <c r="G250" s="2">
        <v>45768</v>
      </c>
      <c r="H250" t="str">
        <f>VLOOKUP(A250,user!A:L,12,0)</f>
        <v>user6</v>
      </c>
    </row>
    <row r="251" spans="1:8" x14ac:dyDescent="0.2">
      <c r="A251">
        <v>6</v>
      </c>
      <c r="B251">
        <v>17</v>
      </c>
      <c r="C251">
        <v>1</v>
      </c>
      <c r="D251" t="s">
        <v>116</v>
      </c>
      <c r="E251" t="s">
        <v>107</v>
      </c>
      <c r="G251" s="2">
        <v>45768</v>
      </c>
      <c r="H251" t="str">
        <f>VLOOKUP(A251,user!A:L,12,0)</f>
        <v>user6</v>
      </c>
    </row>
    <row r="252" spans="1:8" x14ac:dyDescent="0.2">
      <c r="A252">
        <v>6</v>
      </c>
      <c r="B252">
        <v>11</v>
      </c>
      <c r="C252">
        <v>1</v>
      </c>
      <c r="D252" t="s">
        <v>116</v>
      </c>
      <c r="E252" t="s">
        <v>105</v>
      </c>
      <c r="G252" s="2">
        <v>45768</v>
      </c>
      <c r="H252" t="str">
        <f>VLOOKUP(A252,user!A:L,12,0)</f>
        <v>user6</v>
      </c>
    </row>
    <row r="253" spans="1:8" x14ac:dyDescent="0.2">
      <c r="A253">
        <v>6</v>
      </c>
      <c r="B253">
        <v>33</v>
      </c>
      <c r="C253">
        <v>1</v>
      </c>
      <c r="D253" t="s">
        <v>117</v>
      </c>
      <c r="E253" t="s">
        <v>108</v>
      </c>
      <c r="G253" s="2">
        <v>45768</v>
      </c>
      <c r="H253" t="str">
        <f>VLOOKUP(A253,user!A:L,12,0)</f>
        <v>user6</v>
      </c>
    </row>
    <row r="254" spans="1:8" x14ac:dyDescent="0.2">
      <c r="A254">
        <v>6</v>
      </c>
      <c r="B254">
        <v>2</v>
      </c>
      <c r="C254">
        <v>1</v>
      </c>
      <c r="D254" t="s">
        <v>114</v>
      </c>
      <c r="E254" t="s">
        <v>104</v>
      </c>
      <c r="G254" s="2">
        <v>45769</v>
      </c>
      <c r="H254" t="str">
        <f>VLOOKUP(A254,user!A:L,12,0)</f>
        <v>user6</v>
      </c>
    </row>
    <row r="255" spans="1:8" x14ac:dyDescent="0.2">
      <c r="A255">
        <v>6</v>
      </c>
      <c r="B255">
        <v>10</v>
      </c>
      <c r="C255">
        <v>1</v>
      </c>
      <c r="D255" t="s">
        <v>114</v>
      </c>
      <c r="E255" t="s">
        <v>106</v>
      </c>
      <c r="G255" s="2">
        <v>45769</v>
      </c>
      <c r="H255" t="str">
        <f>VLOOKUP(A255,user!A:L,12,0)</f>
        <v>user6</v>
      </c>
    </row>
    <row r="256" spans="1:8" x14ac:dyDescent="0.2">
      <c r="A256">
        <v>6</v>
      </c>
      <c r="B256">
        <v>26</v>
      </c>
      <c r="C256">
        <v>1</v>
      </c>
      <c r="D256" t="s">
        <v>115</v>
      </c>
      <c r="E256" t="s">
        <v>107</v>
      </c>
      <c r="G256" s="2">
        <v>45769</v>
      </c>
      <c r="H256" t="str">
        <f>VLOOKUP(A256,user!A:L,12,0)</f>
        <v>user6</v>
      </c>
    </row>
    <row r="257" spans="1:8" x14ac:dyDescent="0.2">
      <c r="A257">
        <v>6</v>
      </c>
      <c r="B257">
        <v>11</v>
      </c>
      <c r="C257">
        <v>1</v>
      </c>
      <c r="D257" t="s">
        <v>115</v>
      </c>
      <c r="E257" t="s">
        <v>105</v>
      </c>
      <c r="G257" s="2">
        <v>45769</v>
      </c>
      <c r="H257" t="str">
        <f>VLOOKUP(A257,user!A:L,12,0)</f>
        <v>user6</v>
      </c>
    </row>
    <row r="258" spans="1:8" x14ac:dyDescent="0.2">
      <c r="A258">
        <v>6</v>
      </c>
      <c r="B258">
        <v>18</v>
      </c>
      <c r="C258">
        <v>1</v>
      </c>
      <c r="D258" t="s">
        <v>116</v>
      </c>
      <c r="E258" t="s">
        <v>107</v>
      </c>
      <c r="G258" s="2">
        <v>45769</v>
      </c>
      <c r="H258" t="str">
        <f>VLOOKUP(A258,user!A:L,12,0)</f>
        <v>user6</v>
      </c>
    </row>
    <row r="259" spans="1:8" x14ac:dyDescent="0.2">
      <c r="A259">
        <v>6</v>
      </c>
      <c r="B259">
        <v>12</v>
      </c>
      <c r="C259">
        <v>1</v>
      </c>
      <c r="D259" t="s">
        <v>116</v>
      </c>
      <c r="E259" t="s">
        <v>105</v>
      </c>
      <c r="G259" s="2">
        <v>45769</v>
      </c>
      <c r="H259" t="str">
        <f>VLOOKUP(A259,user!A:L,12,0)</f>
        <v>user6</v>
      </c>
    </row>
    <row r="260" spans="1:8" x14ac:dyDescent="0.2">
      <c r="A260">
        <v>6</v>
      </c>
      <c r="B260">
        <v>34</v>
      </c>
      <c r="C260">
        <v>1</v>
      </c>
      <c r="D260" t="s">
        <v>117</v>
      </c>
      <c r="E260" t="s">
        <v>108</v>
      </c>
      <c r="G260" s="2">
        <v>45769</v>
      </c>
      <c r="H260" t="str">
        <f>VLOOKUP(A260,user!A:L,12,0)</f>
        <v>user6</v>
      </c>
    </row>
    <row r="261" spans="1:8" x14ac:dyDescent="0.2">
      <c r="A261">
        <v>6</v>
      </c>
      <c r="B261">
        <v>3</v>
      </c>
      <c r="C261">
        <v>1</v>
      </c>
      <c r="D261" t="s">
        <v>114</v>
      </c>
      <c r="E261" t="s">
        <v>104</v>
      </c>
      <c r="G261" s="2">
        <v>45770</v>
      </c>
      <c r="H261" t="str">
        <f>VLOOKUP(A261,user!A:L,12,0)</f>
        <v>user6</v>
      </c>
    </row>
    <row r="262" spans="1:8" x14ac:dyDescent="0.2">
      <c r="A262">
        <v>6</v>
      </c>
      <c r="B262">
        <v>11</v>
      </c>
      <c r="C262">
        <v>1</v>
      </c>
      <c r="D262" t="s">
        <v>114</v>
      </c>
      <c r="E262" t="s">
        <v>106</v>
      </c>
      <c r="G262" s="2">
        <v>45770</v>
      </c>
      <c r="H262" t="str">
        <f>VLOOKUP(A262,user!A:L,12,0)</f>
        <v>user6</v>
      </c>
    </row>
    <row r="263" spans="1:8" x14ac:dyDescent="0.2">
      <c r="A263">
        <v>6</v>
      </c>
      <c r="B263">
        <v>27</v>
      </c>
      <c r="C263">
        <v>1</v>
      </c>
      <c r="D263" t="s">
        <v>115</v>
      </c>
      <c r="E263" t="s">
        <v>107</v>
      </c>
      <c r="G263" s="2">
        <v>45770</v>
      </c>
      <c r="H263" t="str">
        <f>VLOOKUP(A263,user!A:L,12,0)</f>
        <v>user6</v>
      </c>
    </row>
    <row r="264" spans="1:8" x14ac:dyDescent="0.2">
      <c r="A264">
        <v>6</v>
      </c>
      <c r="B264">
        <v>12</v>
      </c>
      <c r="C264">
        <v>1</v>
      </c>
      <c r="D264" t="s">
        <v>115</v>
      </c>
      <c r="E264" t="s">
        <v>105</v>
      </c>
      <c r="G264" s="2">
        <v>45770</v>
      </c>
      <c r="H264" t="str">
        <f>VLOOKUP(A264,user!A:L,12,0)</f>
        <v>user6</v>
      </c>
    </row>
    <row r="265" spans="1:8" x14ac:dyDescent="0.2">
      <c r="A265">
        <v>6</v>
      </c>
      <c r="B265">
        <v>19</v>
      </c>
      <c r="C265">
        <v>1</v>
      </c>
      <c r="D265" t="s">
        <v>116</v>
      </c>
      <c r="E265" t="s">
        <v>107</v>
      </c>
      <c r="G265" s="2">
        <v>45770</v>
      </c>
      <c r="H265" t="str">
        <f>VLOOKUP(A265,user!A:L,12,0)</f>
        <v>user6</v>
      </c>
    </row>
    <row r="266" spans="1:8" x14ac:dyDescent="0.2">
      <c r="A266">
        <v>6</v>
      </c>
      <c r="B266">
        <v>13</v>
      </c>
      <c r="C266">
        <v>1</v>
      </c>
      <c r="D266" t="s">
        <v>116</v>
      </c>
      <c r="E266" t="s">
        <v>105</v>
      </c>
      <c r="G266" s="2">
        <v>45770</v>
      </c>
      <c r="H266" t="str">
        <f>VLOOKUP(A266,user!A:L,12,0)</f>
        <v>user6</v>
      </c>
    </row>
    <row r="267" spans="1:8" x14ac:dyDescent="0.2">
      <c r="A267">
        <v>6</v>
      </c>
      <c r="B267">
        <v>35</v>
      </c>
      <c r="C267">
        <v>1</v>
      </c>
      <c r="D267" t="s">
        <v>117</v>
      </c>
      <c r="E267" t="s">
        <v>108</v>
      </c>
      <c r="G267" s="2">
        <v>45770</v>
      </c>
      <c r="H267" t="str">
        <f>VLOOKUP(A267,user!A:L,12,0)</f>
        <v>user6</v>
      </c>
    </row>
    <row r="268" spans="1:8" x14ac:dyDescent="0.2">
      <c r="A268">
        <v>6</v>
      </c>
      <c r="B268">
        <v>4</v>
      </c>
      <c r="C268">
        <v>1</v>
      </c>
      <c r="D268" t="s">
        <v>114</v>
      </c>
      <c r="E268" t="s">
        <v>104</v>
      </c>
      <c r="G268" s="2">
        <v>45771</v>
      </c>
      <c r="H268" t="str">
        <f>VLOOKUP(A268,user!A:L,12,0)</f>
        <v>user6</v>
      </c>
    </row>
    <row r="269" spans="1:8" x14ac:dyDescent="0.2">
      <c r="A269">
        <v>6</v>
      </c>
      <c r="B269">
        <v>12</v>
      </c>
      <c r="C269">
        <v>1</v>
      </c>
      <c r="D269" t="s">
        <v>114</v>
      </c>
      <c r="E269" t="s">
        <v>106</v>
      </c>
      <c r="G269" s="2">
        <v>45771</v>
      </c>
      <c r="H269" t="str">
        <f>VLOOKUP(A269,user!A:L,12,0)</f>
        <v>user6</v>
      </c>
    </row>
    <row r="270" spans="1:8" x14ac:dyDescent="0.2">
      <c r="A270">
        <v>6</v>
      </c>
      <c r="B270">
        <v>28</v>
      </c>
      <c r="C270">
        <v>1</v>
      </c>
      <c r="D270" t="s">
        <v>115</v>
      </c>
      <c r="E270" t="s">
        <v>107</v>
      </c>
      <c r="G270" s="2">
        <v>45771</v>
      </c>
      <c r="H270" t="str">
        <f>VLOOKUP(A270,user!A:L,12,0)</f>
        <v>user6</v>
      </c>
    </row>
    <row r="271" spans="1:8" x14ac:dyDescent="0.2">
      <c r="A271">
        <v>6</v>
      </c>
      <c r="B271">
        <v>13</v>
      </c>
      <c r="C271">
        <v>1</v>
      </c>
      <c r="D271" t="s">
        <v>115</v>
      </c>
      <c r="E271" t="s">
        <v>105</v>
      </c>
      <c r="G271" s="2">
        <v>45771</v>
      </c>
      <c r="H271" t="str">
        <f>VLOOKUP(A271,user!A:L,12,0)</f>
        <v>user6</v>
      </c>
    </row>
    <row r="272" spans="1:8" x14ac:dyDescent="0.2">
      <c r="A272">
        <v>6</v>
      </c>
      <c r="B272">
        <v>20</v>
      </c>
      <c r="C272">
        <v>1</v>
      </c>
      <c r="D272" t="s">
        <v>116</v>
      </c>
      <c r="E272" t="s">
        <v>107</v>
      </c>
      <c r="G272" s="2">
        <v>45771</v>
      </c>
      <c r="H272" t="str">
        <f>VLOOKUP(A272,user!A:L,12,0)</f>
        <v>user6</v>
      </c>
    </row>
    <row r="273" spans="1:8" x14ac:dyDescent="0.2">
      <c r="A273">
        <v>6</v>
      </c>
      <c r="B273">
        <v>14</v>
      </c>
      <c r="C273">
        <v>1</v>
      </c>
      <c r="D273" t="s">
        <v>116</v>
      </c>
      <c r="E273" t="s">
        <v>105</v>
      </c>
      <c r="G273" s="2">
        <v>45771</v>
      </c>
      <c r="H273" t="str">
        <f>VLOOKUP(A273,user!A:L,12,0)</f>
        <v>user6</v>
      </c>
    </row>
    <row r="274" spans="1:8" x14ac:dyDescent="0.2">
      <c r="A274">
        <v>6</v>
      </c>
      <c r="B274">
        <v>36</v>
      </c>
      <c r="C274">
        <v>1</v>
      </c>
      <c r="D274" t="s">
        <v>117</v>
      </c>
      <c r="E274" t="s">
        <v>108</v>
      </c>
      <c r="G274" s="2">
        <v>45771</v>
      </c>
      <c r="H274" t="str">
        <f>VLOOKUP(A274,user!A:L,12,0)</f>
        <v>user6</v>
      </c>
    </row>
    <row r="275" spans="1:8" x14ac:dyDescent="0.2">
      <c r="A275">
        <v>6</v>
      </c>
      <c r="B275">
        <v>5</v>
      </c>
      <c r="C275">
        <v>1</v>
      </c>
      <c r="D275" t="s">
        <v>114</v>
      </c>
      <c r="E275" t="s">
        <v>104</v>
      </c>
      <c r="G275" s="2">
        <v>45772</v>
      </c>
      <c r="H275" t="str">
        <f>VLOOKUP(A275,user!A:L,12,0)</f>
        <v>user6</v>
      </c>
    </row>
    <row r="276" spans="1:8" x14ac:dyDescent="0.2">
      <c r="A276">
        <v>6</v>
      </c>
      <c r="B276">
        <v>13</v>
      </c>
      <c r="C276">
        <v>1</v>
      </c>
      <c r="D276" t="s">
        <v>114</v>
      </c>
      <c r="E276" t="s">
        <v>106</v>
      </c>
      <c r="G276" s="2">
        <v>45772</v>
      </c>
      <c r="H276" t="str">
        <f>VLOOKUP(A276,user!A:L,12,0)</f>
        <v>user6</v>
      </c>
    </row>
    <row r="277" spans="1:8" x14ac:dyDescent="0.2">
      <c r="A277">
        <v>6</v>
      </c>
      <c r="B277">
        <v>29</v>
      </c>
      <c r="C277">
        <v>1</v>
      </c>
      <c r="D277" t="s">
        <v>115</v>
      </c>
      <c r="E277" t="s">
        <v>107</v>
      </c>
      <c r="G277" s="2">
        <v>45772</v>
      </c>
      <c r="H277" t="str">
        <f>VLOOKUP(A277,user!A:L,12,0)</f>
        <v>user6</v>
      </c>
    </row>
    <row r="278" spans="1:8" x14ac:dyDescent="0.2">
      <c r="A278">
        <v>6</v>
      </c>
      <c r="B278">
        <v>14</v>
      </c>
      <c r="C278">
        <v>1</v>
      </c>
      <c r="D278" t="s">
        <v>115</v>
      </c>
      <c r="E278" t="s">
        <v>105</v>
      </c>
      <c r="G278" s="2">
        <v>45772</v>
      </c>
      <c r="H278" t="str">
        <f>VLOOKUP(A278,user!A:L,12,0)</f>
        <v>user6</v>
      </c>
    </row>
    <row r="279" spans="1:8" x14ac:dyDescent="0.2">
      <c r="A279">
        <v>6</v>
      </c>
      <c r="B279">
        <v>21</v>
      </c>
      <c r="C279">
        <v>1</v>
      </c>
      <c r="D279" t="s">
        <v>116</v>
      </c>
      <c r="E279" t="s">
        <v>107</v>
      </c>
      <c r="G279" s="2">
        <v>45772</v>
      </c>
      <c r="H279" t="str">
        <f>VLOOKUP(A279,user!A:L,12,0)</f>
        <v>user6</v>
      </c>
    </row>
    <row r="280" spans="1:8" x14ac:dyDescent="0.2">
      <c r="A280">
        <v>6</v>
      </c>
      <c r="B280">
        <v>15</v>
      </c>
      <c r="C280">
        <v>1</v>
      </c>
      <c r="D280" t="s">
        <v>116</v>
      </c>
      <c r="E280" t="s">
        <v>105</v>
      </c>
      <c r="G280" s="2">
        <v>45772</v>
      </c>
      <c r="H280" t="str">
        <f>VLOOKUP(A280,user!A:L,12,0)</f>
        <v>user6</v>
      </c>
    </row>
    <row r="281" spans="1:8" x14ac:dyDescent="0.2">
      <c r="A281">
        <v>6</v>
      </c>
      <c r="B281">
        <v>37</v>
      </c>
      <c r="C281">
        <v>1</v>
      </c>
      <c r="D281" t="s">
        <v>117</v>
      </c>
      <c r="E281" t="s">
        <v>108</v>
      </c>
      <c r="G281" s="2">
        <v>45772</v>
      </c>
      <c r="H281" t="str">
        <f>VLOOKUP(A281,user!A:L,12,0)</f>
        <v>user6</v>
      </c>
    </row>
    <row r="282" spans="1:8" x14ac:dyDescent="0.2">
      <c r="A282">
        <v>6</v>
      </c>
      <c r="B282">
        <v>6</v>
      </c>
      <c r="C282">
        <v>1</v>
      </c>
      <c r="D282" t="s">
        <v>114</v>
      </c>
      <c r="E282" t="s">
        <v>104</v>
      </c>
      <c r="G282" s="2">
        <v>45773</v>
      </c>
      <c r="H282" t="str">
        <f>VLOOKUP(A282,user!A:L,12,0)</f>
        <v>user6</v>
      </c>
    </row>
    <row r="283" spans="1:8" x14ac:dyDescent="0.2">
      <c r="A283">
        <v>6</v>
      </c>
      <c r="B283">
        <v>14</v>
      </c>
      <c r="C283">
        <v>1</v>
      </c>
      <c r="D283" t="s">
        <v>114</v>
      </c>
      <c r="E283" t="s">
        <v>106</v>
      </c>
      <c r="G283" s="2">
        <v>45773</v>
      </c>
      <c r="H283" t="str">
        <f>VLOOKUP(A283,user!A:L,12,0)</f>
        <v>user6</v>
      </c>
    </row>
    <row r="284" spans="1:8" x14ac:dyDescent="0.2">
      <c r="A284">
        <v>6</v>
      </c>
      <c r="B284">
        <v>30</v>
      </c>
      <c r="C284">
        <v>1</v>
      </c>
      <c r="D284" t="s">
        <v>115</v>
      </c>
      <c r="E284" t="s">
        <v>107</v>
      </c>
      <c r="G284" s="2">
        <v>45773</v>
      </c>
      <c r="H284" t="str">
        <f>VLOOKUP(A284,user!A:L,12,0)</f>
        <v>user6</v>
      </c>
    </row>
    <row r="285" spans="1:8" x14ac:dyDescent="0.2">
      <c r="A285">
        <v>6</v>
      </c>
      <c r="B285">
        <v>15</v>
      </c>
      <c r="C285">
        <v>1</v>
      </c>
      <c r="D285" t="s">
        <v>115</v>
      </c>
      <c r="E285" t="s">
        <v>105</v>
      </c>
      <c r="G285" s="2">
        <v>45773</v>
      </c>
      <c r="H285" t="str">
        <f>VLOOKUP(A285,user!A:L,12,0)</f>
        <v>user6</v>
      </c>
    </row>
    <row r="286" spans="1:8" x14ac:dyDescent="0.2">
      <c r="A286">
        <v>6</v>
      </c>
      <c r="B286">
        <v>22</v>
      </c>
      <c r="C286">
        <v>1</v>
      </c>
      <c r="D286" t="s">
        <v>116</v>
      </c>
      <c r="E286" t="s">
        <v>107</v>
      </c>
      <c r="G286" s="2">
        <v>45773</v>
      </c>
      <c r="H286" t="str">
        <f>VLOOKUP(A286,user!A:L,12,0)</f>
        <v>user6</v>
      </c>
    </row>
    <row r="287" spans="1:8" x14ac:dyDescent="0.2">
      <c r="A287">
        <v>6</v>
      </c>
      <c r="B287">
        <v>16</v>
      </c>
      <c r="C287">
        <v>1</v>
      </c>
      <c r="D287" t="s">
        <v>116</v>
      </c>
      <c r="E287" t="s">
        <v>105</v>
      </c>
      <c r="G287" s="2">
        <v>45773</v>
      </c>
      <c r="H287" t="str">
        <f>VLOOKUP(A287,user!A:L,12,0)</f>
        <v>user6</v>
      </c>
    </row>
    <row r="288" spans="1:8" x14ac:dyDescent="0.2">
      <c r="A288">
        <v>6</v>
      </c>
      <c r="B288">
        <v>38</v>
      </c>
      <c r="C288">
        <v>1</v>
      </c>
      <c r="D288" t="s">
        <v>117</v>
      </c>
      <c r="E288" t="s">
        <v>108</v>
      </c>
      <c r="G288" s="2">
        <v>45773</v>
      </c>
      <c r="H288" t="str">
        <f>VLOOKUP(A288,user!A:L,12,0)</f>
        <v>user6</v>
      </c>
    </row>
    <row r="289" spans="1:8" x14ac:dyDescent="0.2">
      <c r="A289">
        <v>6</v>
      </c>
      <c r="B289">
        <v>7</v>
      </c>
      <c r="C289">
        <v>1</v>
      </c>
      <c r="D289" t="s">
        <v>114</v>
      </c>
      <c r="E289" t="s">
        <v>104</v>
      </c>
      <c r="G289" s="2">
        <v>45774</v>
      </c>
      <c r="H289" t="str">
        <f>VLOOKUP(A289,user!A:L,12,0)</f>
        <v>user6</v>
      </c>
    </row>
    <row r="290" spans="1:8" x14ac:dyDescent="0.2">
      <c r="A290">
        <v>6</v>
      </c>
      <c r="B290">
        <v>15</v>
      </c>
      <c r="C290">
        <v>1</v>
      </c>
      <c r="D290" t="s">
        <v>114</v>
      </c>
      <c r="E290" t="s">
        <v>106</v>
      </c>
      <c r="G290" s="2">
        <v>45774</v>
      </c>
      <c r="H290" t="str">
        <f>VLOOKUP(A290,user!A:L,12,0)</f>
        <v>user6</v>
      </c>
    </row>
    <row r="291" spans="1:8" x14ac:dyDescent="0.2">
      <c r="A291">
        <v>6</v>
      </c>
      <c r="B291">
        <v>31</v>
      </c>
      <c r="C291">
        <v>1</v>
      </c>
      <c r="D291" t="s">
        <v>115</v>
      </c>
      <c r="E291" t="s">
        <v>107</v>
      </c>
      <c r="G291" s="2">
        <v>45774</v>
      </c>
      <c r="H291" t="str">
        <f>VLOOKUP(A291,user!A:L,12,0)</f>
        <v>user6</v>
      </c>
    </row>
    <row r="292" spans="1:8" x14ac:dyDescent="0.2">
      <c r="A292">
        <v>6</v>
      </c>
      <c r="B292">
        <v>16</v>
      </c>
      <c r="C292">
        <v>1</v>
      </c>
      <c r="D292" t="s">
        <v>115</v>
      </c>
      <c r="E292" t="s">
        <v>105</v>
      </c>
      <c r="G292" s="2">
        <v>45774</v>
      </c>
      <c r="H292" t="str">
        <f>VLOOKUP(A292,user!A:L,12,0)</f>
        <v>user6</v>
      </c>
    </row>
    <row r="293" spans="1:8" x14ac:dyDescent="0.2">
      <c r="A293">
        <v>6</v>
      </c>
      <c r="B293">
        <v>23</v>
      </c>
      <c r="C293">
        <v>1</v>
      </c>
      <c r="D293" t="s">
        <v>116</v>
      </c>
      <c r="E293" t="s">
        <v>107</v>
      </c>
      <c r="G293" s="2">
        <v>45774</v>
      </c>
      <c r="H293" t="str">
        <f>VLOOKUP(A293,user!A:L,12,0)</f>
        <v>user6</v>
      </c>
    </row>
    <row r="294" spans="1:8" x14ac:dyDescent="0.2">
      <c r="A294">
        <v>6</v>
      </c>
      <c r="B294">
        <v>9</v>
      </c>
      <c r="C294">
        <v>1</v>
      </c>
      <c r="D294" t="s">
        <v>116</v>
      </c>
      <c r="E294" t="s">
        <v>105</v>
      </c>
      <c r="G294" s="2">
        <v>45774</v>
      </c>
      <c r="H294" t="str">
        <f>VLOOKUP(A294,user!A:L,12,0)</f>
        <v>user6</v>
      </c>
    </row>
    <row r="295" spans="1:8" x14ac:dyDescent="0.2">
      <c r="A295">
        <v>6</v>
      </c>
      <c r="B295">
        <v>32</v>
      </c>
      <c r="C295">
        <v>1</v>
      </c>
      <c r="D295" t="s">
        <v>117</v>
      </c>
      <c r="E295" t="s">
        <v>108</v>
      </c>
      <c r="G295" s="2">
        <v>45774</v>
      </c>
      <c r="H295" t="str">
        <f>VLOOKUP(A295,user!A:L,12,0)</f>
        <v>user6</v>
      </c>
    </row>
  </sheetData>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51BB7-FF01-444C-86C9-B13209DE44C6}">
  <dimension ref="A1:G26"/>
  <sheetViews>
    <sheetView tabSelected="1" topLeftCell="A4" workbookViewId="0">
      <selection activeCell="H21" sqref="H21"/>
    </sheetView>
  </sheetViews>
  <sheetFormatPr baseColWidth="10" defaultRowHeight="15" x14ac:dyDescent="0.2"/>
  <sheetData>
    <row r="1" spans="1:7" x14ac:dyDescent="0.2">
      <c r="A1" t="s">
        <v>161</v>
      </c>
    </row>
    <row r="2" spans="1:7" x14ac:dyDescent="0.2">
      <c r="A2" s="1" t="s">
        <v>11</v>
      </c>
      <c r="B2" s="10" t="s">
        <v>162</v>
      </c>
    </row>
    <row r="3" spans="1:7" x14ac:dyDescent="0.2">
      <c r="A3" t="s">
        <v>43</v>
      </c>
      <c r="B3">
        <v>34</v>
      </c>
    </row>
    <row r="4" spans="1:7" x14ac:dyDescent="0.2">
      <c r="A4" t="s">
        <v>44</v>
      </c>
      <c r="B4">
        <v>29</v>
      </c>
    </row>
    <row r="5" spans="1:7" x14ac:dyDescent="0.2">
      <c r="A5" t="s">
        <v>45</v>
      </c>
      <c r="B5">
        <v>36</v>
      </c>
    </row>
    <row r="6" spans="1:7" x14ac:dyDescent="0.2">
      <c r="A6" t="s">
        <v>46</v>
      </c>
      <c r="B6">
        <v>24</v>
      </c>
    </row>
    <row r="7" spans="1:7" x14ac:dyDescent="0.2">
      <c r="A7" t="s">
        <v>47</v>
      </c>
      <c r="B7">
        <v>33</v>
      </c>
    </row>
    <row r="8" spans="1:7" x14ac:dyDescent="0.2">
      <c r="A8" t="s">
        <v>48</v>
      </c>
      <c r="B8">
        <v>39</v>
      </c>
    </row>
    <row r="11" spans="1:7" x14ac:dyDescent="0.2">
      <c r="A11" t="s">
        <v>163</v>
      </c>
    </row>
    <row r="12" spans="1:7" x14ac:dyDescent="0.2">
      <c r="A12" s="11" t="s">
        <v>0</v>
      </c>
      <c r="B12" s="11" t="s">
        <v>105</v>
      </c>
      <c r="C12" s="11" t="s">
        <v>120</v>
      </c>
      <c r="D12" s="11" t="s">
        <v>106</v>
      </c>
      <c r="E12" s="11" t="s">
        <v>107</v>
      </c>
      <c r="F12" s="11" t="s">
        <v>108</v>
      </c>
      <c r="G12" s="11" t="s">
        <v>109</v>
      </c>
    </row>
    <row r="13" spans="1:7" x14ac:dyDescent="0.2">
      <c r="A13" s="12" t="s">
        <v>43</v>
      </c>
      <c r="B13" s="13">
        <v>3</v>
      </c>
      <c r="C13" s="13">
        <v>2</v>
      </c>
      <c r="D13" s="13">
        <v>3</v>
      </c>
      <c r="E13" s="13">
        <v>2</v>
      </c>
      <c r="F13" s="13">
        <v>2</v>
      </c>
      <c r="G13" s="13">
        <v>1</v>
      </c>
    </row>
    <row r="14" spans="1:7" x14ac:dyDescent="0.2">
      <c r="A14" s="12" t="s">
        <v>44</v>
      </c>
      <c r="B14" s="13">
        <v>2</v>
      </c>
      <c r="C14" s="13">
        <v>1</v>
      </c>
      <c r="D14" s="13">
        <v>2</v>
      </c>
      <c r="E14" s="13">
        <v>3</v>
      </c>
      <c r="F14" s="13">
        <v>1</v>
      </c>
      <c r="G14" s="13">
        <v>0</v>
      </c>
    </row>
    <row r="15" spans="1:7" x14ac:dyDescent="0.2">
      <c r="A15" s="12" t="s">
        <v>45</v>
      </c>
      <c r="B15" s="13">
        <v>4</v>
      </c>
      <c r="C15" s="13">
        <v>2</v>
      </c>
      <c r="D15" s="13">
        <v>2</v>
      </c>
      <c r="E15" s="13">
        <v>1</v>
      </c>
      <c r="F15" s="13">
        <v>2</v>
      </c>
      <c r="G15" s="13">
        <v>1</v>
      </c>
    </row>
    <row r="16" spans="1:7" x14ac:dyDescent="0.2">
      <c r="A16" s="12" t="s">
        <v>46</v>
      </c>
      <c r="B16" s="13">
        <v>2</v>
      </c>
      <c r="C16" s="13">
        <v>2</v>
      </c>
      <c r="D16" s="13">
        <v>3</v>
      </c>
      <c r="E16" s="13">
        <v>2</v>
      </c>
      <c r="F16" s="13">
        <v>2</v>
      </c>
      <c r="G16" s="13">
        <v>1</v>
      </c>
    </row>
    <row r="17" spans="1:7" x14ac:dyDescent="0.2">
      <c r="A17" s="12" t="s">
        <v>47</v>
      </c>
      <c r="B17" s="13">
        <v>3</v>
      </c>
      <c r="C17" s="13">
        <v>3</v>
      </c>
      <c r="D17" s="13">
        <v>2</v>
      </c>
      <c r="E17" s="13">
        <v>1</v>
      </c>
      <c r="F17" s="13">
        <v>1</v>
      </c>
      <c r="G17" s="13">
        <v>2</v>
      </c>
    </row>
    <row r="18" spans="1:7" x14ac:dyDescent="0.2">
      <c r="A18" s="12" t="s">
        <v>48</v>
      </c>
      <c r="B18" s="13">
        <v>2</v>
      </c>
      <c r="C18" s="13">
        <v>2</v>
      </c>
      <c r="D18" s="13">
        <v>2</v>
      </c>
      <c r="E18" s="13">
        <v>2</v>
      </c>
      <c r="F18" s="13">
        <v>2</v>
      </c>
      <c r="G18" s="13">
        <v>1</v>
      </c>
    </row>
    <row r="26" spans="1:7" x14ac:dyDescent="0.2">
      <c r="A26" t="s">
        <v>164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Sheet1</vt:lpstr>
      <vt:lpstr>user</vt:lpstr>
      <vt:lpstr>foods</vt:lpstr>
      <vt:lpstr>meal_records</vt:lpstr>
      <vt:lpstr>food_records</vt:lpstr>
      <vt:lpstr>goal_settings</vt:lpstr>
      <vt:lpstr>Sheet2</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Zhongzheng Su</cp:lastModifiedBy>
  <dcterms:created xsi:type="dcterms:W3CDTF">2025-04-28T09:34:26Z</dcterms:created>
  <dcterms:modified xsi:type="dcterms:W3CDTF">2025-04-30T12:17:47Z</dcterms:modified>
</cp:coreProperties>
</file>